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92f45c5f3dd417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逐项核对" sheetId="1" r:id="R97b6b02c1f5c4313"/>
    <x:sheet xmlns:r="http://schemas.openxmlformats.org/officeDocument/2006/relationships" name="文献与材料对照" sheetId="2" r:id="R0492ffd70e914a15"/>
    <x:sheet xmlns:r="http://schemas.openxmlformats.org/officeDocument/2006/relationships" name="复算与条件反推" sheetId="3" r:id="Rfa674d8ed0e94602"/>
    <x:sheet xmlns:r="http://schemas.openxmlformats.org/officeDocument/2006/relationships" name="建模参数依据" sheetId="4" r:id="R95aaa3f0bb834c1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7">
    <x:numFmt numFmtId="200" formatCode="0.0000000000E+00"/>
    <x:numFmt numFmtId="201" formatCode="0.000000"/>
    <x:numFmt numFmtId="202" formatCode="#,##0"/>
    <x:numFmt numFmtId="203" formatCode="0.0%"/>
    <x:numFmt numFmtId="204" formatCode="0"/>
    <x:numFmt numFmtId="205" formatCode="0.000000E+00"/>
    <x:numFmt numFmtId="206" formatCode="0.00E+00"/>
  </x:numFmts>
  <x:fonts count="9">
    <x:font>
      <x:sz val="11"/>
      <x:name val="Carlito"/>
    </x:font>
    <x:font>
      <x:sz val="10"/>
      <x:color rgb="FF203239"/>
      <x:name val="Noto Sans CJK SC"/>
    </x:font>
    <x:font>
      <x:b/>
      <x:sz val="16"/>
      <x:color rgb="FF183D4B"/>
      <x:name val="Noto Sans CJK SC"/>
    </x:font>
    <x:font>
      <x:sz val="10"/>
      <x:color rgb="FF526870"/>
      <x:name val="Noto Sans CJK SC"/>
    </x:font>
    <x:font>
      <x:b/>
      <x:sz val="10"/>
      <x:color rgb="FFFFFFFF"/>
      <x:name val="Noto Sans CJK SC"/>
    </x:font>
    <x:font>
      <x:sz val="10"/>
      <x:color rgb="FF183D4B"/>
      <x:name val="Noto Sans CJK SC"/>
    </x:font>
    <x:font>
      <x:sz val="10"/>
      <x:color rgb="FF526870"/>
      <x:name val="Noto Sans CJK SC"/>
    </x:font>
    <x:font>
      <x:b/>
      <x:sz val="12"/>
      <x:color rgb="FFFFFFFF"/>
      <x:name val="Noto Sans CJK SC"/>
    </x:font>
    <x:font>
      <x:b/>
      <x:sz val="10"/>
      <x:color rgb="FF183D4B"/>
      <x:name val="Noto Sans CJK SC"/>
    </x:font>
  </x:fonts>
  <x:fills count="8">
    <x:fill>
      <x:patternFill patternType="none"/>
    </x:fill>
    <x:fill>
      <x:patternFill patternType="gray125"/>
    </x:fill>
    <x:fill>
      <x:patternFill patternType="solid">
        <x:fgColor rgb="FF183D4B"/>
      </x:patternFill>
    </x:fill>
    <x:fill>
      <x:patternFill patternType="solid">
        <x:fgColor rgb="FFEAF4EE"/>
      </x:patternFill>
    </x:fill>
    <x:fill>
      <x:patternFill patternType="solid">
        <x:fgColor rgb="FFFFF3D6"/>
      </x:patternFill>
    </x:fill>
    <x:fill>
      <x:patternFill patternType="solid">
        <x:fgColor rgb="FF183D4B"/>
      </x:patternFill>
    </x:fill>
    <x:fill>
      <x:patternFill patternType="solid">
        <x:fgColor rgb="FFFFF1CF"/>
      </x:patternFill>
    </x:fill>
    <x:fill>
      <x:patternFill patternType="solid">
        <x:fgColor rgb="FFDBE9E9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6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top"/>
    </x:xf>
    <x:xf numFmtId="0" fontId="1" fillId="0" borderId="0" xfId="0" applyNumberFormat="1" applyFont="1" applyFill="1" applyBorder="1" applyAlignment="1">
      <x:alignment vertical="top" wrapText="1"/>
    </x:xf>
    <x:xf numFmtId="0" fontId="2" fillId="0" borderId="0" xfId="0" applyNumberFormat="1" applyFont="1" applyFill="1" applyBorder="1" applyAlignment="1">
      <x:alignment vertical="top" wrapText="1"/>
    </x:xf>
    <x:xf numFmtId="0" fontId="2" fillId="0" borderId="0" xfId="0" applyNumberFormat="1" applyFont="1" applyFill="1" applyBorder="1" applyAlignment="1">
      <x:alignment vertical="top" wrapText="0"/>
    </x:xf>
    <x:xf numFmtId="0" fontId="1" fillId="0" borderId="0" xfId="0" applyNumberFormat="1" applyFont="1" applyFill="1" applyBorder="1" applyAlignment="1">
      <x:alignment vertical="top" wrapText="0"/>
    </x:xf>
    <x:xf numFmtId="0" fontId="3" fillId="0" borderId="0" xfId="0" applyNumberFormat="1" applyFont="1" applyFill="1" applyBorder="1" applyAlignment="1">
      <x:alignment vertical="top" wrapText="0"/>
    </x:xf>
    <x:xf numFmtId="0" fontId="1" fillId="2" borderId="0" xfId="0" applyNumberFormat="1" applyFont="1" applyFill="1" applyBorder="1" applyAlignment="1">
      <x:alignment vertical="top" wrapText="1"/>
    </x:xf>
    <x:xf numFmtId="0" fontId="4" fillId="2" borderId="0" xfId="0" applyNumberFormat="1" applyFont="1" applyFill="1" applyBorder="1" applyAlignment="1">
      <x:alignment vertical="top" wrapText="1"/>
    </x:xf>
    <x:xf numFmtId="0" fontId="4" fillId="2" borderId="0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 applyAlignment="1">
      <x:alignment vertical="top" wrapText="1"/>
    </x:xf>
    <x:xf numFmtId="0" fontId="1" fillId="4" borderId="0" xfId="0" applyNumberFormat="1" applyFont="1" applyFill="1" applyBorder="1" applyAlignment="1">
      <x:alignment vertical="top" wrapText="1"/>
    </x:xf>
    <x:xf numFmtId="200" fontId="1" fillId="0" borderId="0" xfId="0" applyNumberFormat="1" applyFont="1" applyFill="1" applyBorder="1" applyAlignment="1">
      <x:alignment vertical="top" wrapText="1"/>
    </x:xf>
    <x:xf numFmtId="200" fontId="1" fillId="3" borderId="0" xfId="0" applyNumberFormat="1" applyFont="1" applyFill="1" applyBorder="1" applyAlignment="1">
      <x:alignment vertical="top" wrapText="1"/>
    </x:xf>
    <x:xf numFmtId="0" fontId="5" fillId="0" borderId="0" xfId="0" applyNumberFormat="1" applyFont="1" applyFill="1" applyBorder="1"/>
    <x:xf numFmtId="0" fontId="5" fillId="0" borderId="0" xfId="0" applyNumberFormat="1" applyFont="1" applyFill="1" applyBorder="1" applyAlignment="1">
      <x:alignment wrapText="1"/>
    </x:xf>
    <x:xf numFmtId="0" fontId="5" fillId="0" borderId="0" xfId="0" applyNumberFormat="1" applyFont="1" applyFill="1" applyBorder="1" applyAlignment="1">
      <x:alignment vertical="top" wrapText="1"/>
    </x:xf>
    <x:xf numFmtId="0" fontId="5" fillId="0" borderId="0" xfId="0" applyNumberFormat="1" applyFont="1" applyFill="1" applyBorder="1" applyAlignment="1">
      <x:alignment vertical="top"/>
    </x:xf>
    <x:xf numFmtId="0" fontId="2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</x:xf>
    <x:xf numFmtId="0" fontId="5" fillId="5" borderId="0" xfId="0" applyNumberFormat="1" applyFont="1" applyFill="1" applyBorder="1" applyAlignment="1">
      <x:alignment vertical="top" wrapText="1"/>
    </x:xf>
    <x:xf numFmtId="0" fontId="4" fillId="5" borderId="0" xfId="0" applyNumberFormat="1" applyFont="1" applyFill="1" applyBorder="1" applyAlignment="1">
      <x:alignment vertical="top" wrapText="1"/>
    </x:xf>
    <x:xf numFmtId="201" fontId="5" fillId="0" borderId="0" xfId="0" applyNumberFormat="1" applyFont="1" applyFill="1" applyBorder="1" applyAlignment="1">
      <x:alignment vertical="top" wrapText="1"/>
    </x:xf>
    <x:xf numFmtId="202" fontId="5" fillId="0" borderId="0" xfId="0" applyNumberFormat="1" applyFont="1" applyFill="1" applyBorder="1" applyAlignment="1">
      <x:alignment vertical="top" wrapText="1"/>
    </x:xf>
    <x:xf numFmtId="203" fontId="5" fillId="0" borderId="0" xfId="0" applyNumberFormat="1" applyFont="1" applyFill="1" applyBorder="1" applyAlignment="1">
      <x:alignment vertical="top" wrapText="1"/>
    </x:xf>
    <x:xf numFmtId="0" fontId="5" fillId="6" borderId="0" xfId="0" applyNumberFormat="1" applyFont="1" applyFill="1" applyBorder="1" applyAlignment="1">
      <x:alignment vertical="top" wrapText="1"/>
    </x:xf>
    <x:xf numFmtId="204" fontId="5" fillId="0" borderId="0" xfId="0" applyNumberFormat="1" applyFont="1" applyFill="1" applyBorder="1" applyAlignment="1">
      <x:alignment vertical="top" wrapText="1"/>
    </x:xf>
    <x:xf numFmtId="205" fontId="5" fillId="0" borderId="0" xfId="0" applyNumberFormat="1" applyFont="1" applyFill="1" applyBorder="1" applyAlignment="1">
      <x:alignment vertical="top" wrapText="1"/>
    </x:xf>
    <x:xf numFmtId="0" fontId="0" fillId="5" borderId="0" xfId="0" applyNumberFormat="1" applyFont="1" applyFill="1" applyBorder="1"/>
    <x:xf numFmtId="0" fontId="7" fillId="5" borderId="0" xfId="0" applyNumberFormat="1" applyFont="1" applyFill="1" applyBorder="1"/>
    <x:xf numFmtId="0" fontId="0" fillId="7" borderId="0" xfId="0" applyNumberFormat="1" applyFont="1" applyFill="1" applyBorder="1"/>
    <x:xf numFmtId="0" fontId="8" fillId="7" borderId="0" xfId="0" applyNumberFormat="1" applyFont="1" applyFill="1" applyBorder="1"/>
    <x:xf numFmtId="0" fontId="8" fillId="7" borderId="0" xfId="0" applyNumberFormat="1" applyFont="1" applyFill="1" applyBorder="1" applyAlignment="1">
      <x:alignment wrapText="1"/>
    </x:xf>
    <x:xf numFmtId="206" fontId="5" fillId="0" borderId="0" xfId="0" applyNumberFormat="1" applyFont="1" applyFill="1" applyBorder="1" applyAlignment="1">
      <x:alignment vertical="top" wrapText="1"/>
    </x:xf>
    <x:xf numFmtId="0" fontId="3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c702152b895459b" /><Relationship Type="http://schemas.openxmlformats.org/officeDocument/2006/relationships/theme" Target="/xl/theme/theme1.xml" Id="Rf1f2e819d102430b" /><Relationship Type="http://schemas.openxmlformats.org/officeDocument/2006/relationships/sharedStrings" Target="/xl/sharedStrings.xml" Id="R2b833245cc8c4671" /><Relationship Type="http://schemas.openxmlformats.org/officeDocument/2006/relationships/worksheet" Target="/xl/worksheets/sheet1.xml" Id="R97b6b02c1f5c4313" /><Relationship Type="http://schemas.openxmlformats.org/officeDocument/2006/relationships/worksheet" Target="/xl/worksheets/sheet2.xml" Id="R0492ffd70e914a15" /><Relationship Type="http://schemas.openxmlformats.org/officeDocument/2006/relationships/worksheet" Target="/xl/worksheets/sheet3.xml" Id="Rfa674d8ed0e94602" /><Relationship Type="http://schemas.openxmlformats.org/officeDocument/2006/relationships/worksheet" Target="/xl/worksheets/sheet4.xml" Id="R95aaa3f0bb834c1e" /></Relationships>
</file>

<file path=xl/tables/table1.xml><?xml version="1.0" encoding="utf-8"?>
<x:table xmlns:x="http://schemas.openxmlformats.org/spreadsheetml/2006/main" id="1" name="NumericalProvenanceAudit" displayName="NumericalProvenanceAudit" ref="A6:K207" headerRowCount="1" totalsRowCount="0" totalsRowShown="0">
  <x:autoFilter ref="A6:K207"/>
  <x:tableColumns count="11">
    <x:tableColumn id="1" name="编号"/>
    <x:tableColumn id="2" name="正文位置"/>
    <x:tableColumn id="3" name="量/参数"/>
    <x:tableColumn id="4" name="原文赋值或界"/>
    <x:tableColumn id="5" name="单位"/>
    <x:tableColumn id="6" name="性质"/>
    <x:tableColumn id="7" name="来源判断"/>
    <x:tableColumn id="8" name="复核结果/限制"/>
    <x:tableColumn id="9" name="原文来源指向"/>
    <x:tableColumn id="10" name="仍需的材料"/>
    <x:tableColumn id="11" name="外部对照编号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EvidenceCrosswalk" displayName="EvidenceCrosswalk" ref="A6:G29" headerRowCount="1" totalsRowCount="0" totalsRowShown="0">
  <x:autoFilter ref="A6:G29"/>
  <x:tableColumns count="7">
    <x:tableColumn id="1" name="编号"/>
    <x:tableColumn id="2" name="文献/材料"/>
    <x:tableColumn id="3" name="核验位置"/>
    <x:tableColumn id="4" name="实际参数/内容"/>
    <x:tableColumn id="5" name="与本文的关系和边界"/>
    <x:tableColumn id="6" name="当前核验状态"/>
    <x:tableColumn id="7" name="原始来源链接/位置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ConsistencyCalculations" displayName="ConsistencyCalculations" ref="A6:E67" headerRowCount="1" totalsRowCount="0" totalsRowShown="0">
  <x:autoFilter ref="A6:E67"/>
  <x:tableColumns count="5">
    <x:tableColumn id="1" name="项目"/>
    <x:tableColumn id="2" name="数值/公式结果"/>
    <x:tableColumn id="3" name="单位"/>
    <x:tableColumn id="4" name="来源/计算关系"/>
    <x:tableColumn id="5" name="判断与适用限制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ModelParameterBasis" displayName="ModelParameterBasis" ref="A6:I76" headerRowCount="1" totalsRowCount="0" totalsRowShown="0">
  <x:autoFilter ref="A6:I76"/>
  <x:tableColumns count="9">
    <x:tableColumn id="1" name="编号"/>
    <x:tableColumn id="2" name="参数或模型项"/>
    <x:tableColumn id="3" name="新基准采用值"/>
    <x:tableColumn id="4" name="单位"/>
    <x:tableColumn id="5" name="依据类型"/>
    <x:tableColumn id="6" name="原稿/前版值"/>
    <x:tableColumn id="7" name="来源编号"/>
    <x:tableColumn id="8" name="选取理由与计算关系"/>
    <x:tableColumn id="9" name="适用条件/尚需验证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61b3aad95d5d4c95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2b5e84a0fc224cac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5938aa1d2daa43f9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89523dd6b7b940b2" /></Relationships>
</file>

<file path=xl/worksheets/sheet1.xml><?xml version="1.0" encoding="utf-8"?>
<x:worksheet xmlns:x="http://schemas.openxmlformats.org/spreadsheetml/2006/main">
  <x:sheetViews>
    <x:sheetView showGridLines="0" workbookViewId="0">
      <x:pane xSplit="3" ySplit="6" topLeftCell="D7" activePane="bottomRight" state="frozen"/>
    </x:sheetView>
  </x:sheetViews>
  <x:sheetFormatPr defaultRowHeight="15"/>
  <x:cols>
    <x:col min="1" max="1" width="6.199999809265137" hidden="0" customWidth="1"/>
    <x:col min="2" max="2" width="12.800000190734863" hidden="0" customWidth="1"/>
    <x:col min="3" max="3" width="24" hidden="0" customWidth="1"/>
    <x:col min="4" max="4" width="26" hidden="0" customWidth="1"/>
    <x:col min="5" max="5" width="12.5" hidden="0" customWidth="1"/>
    <x:col min="6" max="6" width="11" hidden="0" customWidth="1"/>
    <x:col min="7" max="7" width="30" hidden="0" customWidth="1"/>
    <x:col min="8" max="8" width="39" hidden="0" customWidth="1"/>
    <x:col min="9" max="9" width="34" hidden="0" customWidth="1"/>
    <x:col min="10" max="10" width="34" hidden="0" customWidth="1"/>
    <x:col min="11" max="11" width="15" hidden="0" customWidth="1"/>
  </x:cols>
  <x:sheetData>
    <x:row r="1" ht="30" customHeight="1">
      <x:c r="A1" s="5" t="str">
        <x:v>数值赋值来源逐项校对｜原稿与新参数方案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</x:row>
    <x:row r="2" ht="22" customHeight="1">
      <x:c r="A2" s="7" t="str">
        <x:v>保留原稿201条记录与原始数值；新增“建模参数依据”列出可追溯的新基准。核验日期：2026-10-28。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</x:row>
    <x:row r="3" ht="22" customHeight="1">
      <x:c r="A3" s="7" t="str">
        <x:v>已取得公开Supplement与24个章节源码、上游参数配置；完整808 MB S1未下载，旧稿所有区间证书未逐项复验。</x:v>
      </x:c>
      <x:c r="B3" s="7"/>
      <x:c r="C3" s="7"/>
      <x:c r="D3" s="7"/>
      <x:c r="E3" s="7"/>
      <x:c r="F3" s="7"/>
      <x:c r="G3" s="7"/>
      <x:c r="H3" s="7"/>
      <x:c r="I3" s="7"/>
      <x:c r="J3" s="7"/>
      <x:c r="K3" s="7"/>
    </x:row>
    <x:row r="4" ht="22" customHeight="1">
      <x:c r="A4" s="7" t="str">
        <x:v>合理来源分为：文献/规格、公式派生、明确的研究设计、待标定；有出处与已获真实装置验证分别判断。</x:v>
      </x:c>
      <x:c r="B4" s="7"/>
      <x:c r="C4" s="7"/>
      <x:c r="D4" s="7"/>
      <x:c r="E4" s="7"/>
      <x:c r="F4" s="7"/>
      <x:c r="G4" s="7"/>
      <x:c r="H4" s="7"/>
      <x:c r="I4" s="7"/>
      <x:c r="J4" s="7"/>
      <x:c r="K4" s="7"/>
    </x:row>
    <x:row r="5" ht="22" customHeight="1">
      <x:c r="A5" s="7" t="str">
        <x:v>原E=5 MPa、ρ=1100、ζ=.025已确认是上游示例设定。新基准改用Cho材料参考值；旧训练/COMSOL/KAM结果须重算。</x:v>
      </x:c>
      <x:c r="B5" s="7"/>
      <x:c r="C5" s="7"/>
      <x:c r="D5" s="7"/>
      <x:c r="E5" s="7"/>
      <x:c r="F5" s="7"/>
      <x:c r="G5" s="7"/>
      <x:c r="H5" s="7"/>
      <x:c r="I5" s="7"/>
      <x:c r="J5" s="7"/>
      <x:c r="K5" s="7"/>
    </x:row>
    <x:row r="6" ht="30" customHeight="1">
      <x:c r="A6" s="10" t="str">
        <x:v>编号</x:v>
      </x:c>
      <x:c r="B6" s="10" t="str">
        <x:v>正文位置</x:v>
      </x:c>
      <x:c r="C6" s="10" t="str">
        <x:v>量/参数</x:v>
      </x:c>
      <x:c r="D6" s="10" t="str">
        <x:v>原文赋值或界</x:v>
      </x:c>
      <x:c r="E6" s="10" t="str">
        <x:v>单位</x:v>
      </x:c>
      <x:c r="F6" s="10" t="str">
        <x:v>性质</x:v>
      </x:c>
      <x:c r="G6" s="10" t="str">
        <x:v>来源判断</x:v>
      </x:c>
      <x:c r="H6" s="10" t="str">
        <x:v>复核结果/限制</x:v>
      </x:c>
      <x:c r="I6" s="10" t="str">
        <x:v>原文来源指向</x:v>
      </x:c>
      <x:c r="J6" s="10" t="str">
        <x:v>仍需的材料</x:v>
      </x:c>
      <x:c r="K6" s="10" t="str">
        <x:v>外部对照编号</x:v>
      </x:c>
    </x:row>
    <x:row r="7" ht="100" customHeight="1">
      <x:c r="A7" s="3" t="str">
        <x:v>N001</x:v>
      </x:c>
      <x:c r="B7" s="3" t="str">
        <x:v>p4 / 2.1</x:v>
      </x:c>
      <x:c r="C7" s="3" t="str">
        <x:v>梁长度 L</x:v>
      </x:c>
      <x:c r="D7" s="3" t="str">
        <x:v>80</x:v>
      </x:c>
      <x:c r="E7" s="3" t="str">
        <x:v>mm</x:v>
      </x:c>
      <x:c r="F7" s="3" t="str">
        <x:v>物理输入</x:v>
      </x:c>
      <x:c r="G7" s="3" t="str">
        <x:v>80 mm为明确几何设计值；S03可追溯，非借自某篇实验</x:v>
      </x:c>
      <x:c r="H7" s="3" t="str">
        <x:v>保留80 mm设计；与r=0.6 mm合用时L/(2r)=66.7。Tong研究采用100 mm，不能声称80 mm由该文直接给出。</x:v>
      </x:c>
      <x:c r="I7" s="3" t="str">
        <x:v>§2.1；正文明确称材料和磁场参数见 Supplementary Table S1；连续体推导见 Supplement S1。正文未给该数值对应的具体工程材料或datasheet。 本轮定位：S03/S04，sections/unified_model.tex（固定commit）。</x:v>
      </x:c>
      <x:c r="J7" s="3" t="str">
        <x:v>若对应实体导管，需有效自由长度测量；本轮新基准为均匀实心圆梁。</x:v>
      </x:c>
      <x:c r="K7" s="3" t="str">
        <x:v>S03；L01</x:v>
      </x:c>
    </x:row>
    <x:row r="8" ht="100" customHeight="1">
      <x:c r="A8" s="3" t="str">
        <x:v>N002</x:v>
      </x:c>
      <x:c r="B8" s="3" t="str">
        <x:v>p4 / 2.1</x:v>
      </x:c>
      <x:c r="C8" s="3" t="str">
        <x:v>圆截面半径 r_c</x:v>
      </x:c>
      <x:c r="D8" s="3" t="str">
        <x:v>0.6</x:v>
      </x:c>
      <x:c r="E8" s="3" t="str">
        <x:v>mm</x:v>
      </x:c>
      <x:c r="F8" s="3" t="str">
        <x:v>物理输入</x:v>
      </x:c>
      <x:c r="G8" s="3" t="str">
        <x:v>0.6 mm为设计半径；外部同尺度实例可作参考</x:v>
      </x:c>
      <x:c r="H8" s="3" t="str">
        <x:v>Tong原文半径0.6 mm、总长100 mm；仅支持尺寸尺度。Kim 600 μm为外径。圆截面A、I按公式计算。</x:v>
      </x:c>
      <x:c r="I8" s="3" t="str">
        <x:v>§2.1；正文明确称材料和磁场参数见 Supplementary Table S1；连续体推导见 Supplement S1。正文未给该数值对应的具体工程材料或datasheet。 本轮定位：S03/S04，sections/unified_model.tex（固定commit）。</x:v>
      </x:c>
      <x:c r="J8" s="3" t="str">
        <x:v>实体化时测半径/椭圆度；截面为空心或分层时重新计算A、EI、质量。</x:v>
      </x:c>
      <x:c r="K8" s="3" t="str">
        <x:v>S03；L01、L03</x:v>
      </x:c>
    </x:row>
    <x:row r="9" ht="85" customHeight="1">
      <x:c r="A9" s="3" t="str">
        <x:v>N003</x:v>
      </x:c>
      <x:c r="B9" s="3" t="str">
        <x:v>p4 / 2.1</x:v>
      </x:c>
      <x:c r="C9" s="3" t="str">
        <x:v>有限元离散单元数与类型</x:v>
      </x:c>
      <x:c r="D9" s="3" t="str">
        <x:v>32 个 consistent-mass cubic-Hermite elements</x:v>
      </x:c>
      <x:c r="E9" s="3" t="str">
        <x:v>个</x:v>
      </x:c>
      <x:c r="F9" s="3" t="str">
        <x:v>作者选择</x:v>
      </x:c>
      <x:c r="G9" s="3" t="str">
        <x:v>作者设定；可追溯至原稿/补充协议，非外部实测值</x:v>
      </x:c>
      <x:c r="H9" s="3" t="str">
        <x:v>32单元为数值离散选择；本轮新基准另做16/32/64单元前4阶频率比较。频率收敛不等同完整非线性轨迹收敛。</x:v>
      </x:c>
      <x:c r="I9" s="3" t="str">
        <x:v>§2.1；Supplement S1 与 Supplementary Table S1 给模型；§3.4指向S5.4的assembly/refinement checks。 本轮定位：S03/S04，sections/unified_model.tex（固定commit）。</x:v>
      </x:c>
      <x:c r="J9" s="3" t="str">
        <x:v>新模型的网格检查见复算包；完整受迫/高模态/接触问题须另检。</x:v>
      </x:c>
      <x:c r="K9" s="3" t="str">
        <x:v>S03；C01</x:v>
      </x:c>
    </x:row>
    <x:row r="10" ht="70" customHeight="1">
      <x:c r="A10" s="3" t="str">
        <x:v>N004</x:v>
      </x:c>
      <x:c r="B10" s="3" t="str">
        <x:v>p4 / 2.1</x:v>
      </x:c>
      <x:c r="C10" s="3" t="str">
        <x:v>夹持后完整梁自由坐标/模态数量</x:v>
      </x:c>
      <x:c r="D10" s="3" t="str">
        <x:v>64</x:v>
      </x:c>
      <x:c r="E10" s="3" t="str">
        <x:v>个</x:v>
      </x:c>
      <x:c r="F10" s="11" t="str">
        <x:v>公式派生</x:v>
      </x:c>
      <x:c r="G10" s="3" t="str">
        <x:v>可由离散结构复算</x:v>
      </x:c>
      <x:c r="H10" s="3" t="str">
        <x:v>(32+1)*2-2=64，数目自洽；不代表已对无限维连续梁进行64模态以外的误差认证。</x:v>
      </x:c>
      <x:c r="I10" s="3" t="str">
        <x:v>§2.1：32个Hermite单元、clamping后的坐标；完整模态对象在后文§5使用。 本轮定位：S03/S04，sections/unified_model.tex（固定commit）。</x:v>
      </x:c>
      <x:c r="J10" s="3" t="str">
        <x:v>节点和边界自由度索引；完整M、K、模态矩阵。</x:v>
      </x:c>
      <x:c r="K10" s="3" t="str"/>
    </x:row>
    <x:row r="11" ht="100" customHeight="1">
      <x:c r="A11" s="3" t="str">
        <x:v>N005</x:v>
      </x:c>
      <x:c r="B11" s="3" t="str">
        <x:v>p4 / 2.1, Eq. (2)</x:v>
      </x:c>
      <x:c r="C11" s="3" t="str">
        <x:v>静态磁能尺度 E0=μB0</x:v>
      </x:c>
      <x:c r="D11" s="3" t="str">
        <x:v>6.0×10^-7</x:v>
      </x:c>
      <x:c r="E11" s="3" t="str">
        <x:v>J</x:v>
      </x:c>
      <x:c r="F11" s="3" t="str">
        <x:v>物理输入</x:v>
      </x:c>
      <x:c r="G11" s="3" t="str">
        <x:v>上游已给μ和B0；旧E0是示例派生量</x:v>
      </x:c>
      <x:c r="H11" s="3" t="str">
        <x:v>S03：μ=2e−5 A·m²，B0=.03 T，乘积6e−7 J。新μ由N50磁芯设计推算，E0随之更改。</x:v>
      </x:c>
      <x:c r="I11" s="3" t="str">
        <x:v>§2.1；正文明确称材料和磁场参数见 Supplementary Table S1；连续体推导见 Supplement S1。正文未给该数值对应的具体工程材料或datasheet。 本轮定位：S03/S04，sections/unified_model.tex（固定commit）。</x:v>
      </x:c>
      <x:c r="J11" s="3" t="str">
        <x:v>不得独立固定E0而同时改变μ或B0。</x:v>
      </x:c>
      <x:c r="K11" s="3" t="str">
        <x:v>S03；L11–L14</x:v>
      </x:c>
    </x:row>
    <x:row r="12" ht="100" customHeight="1">
      <x:c r="A12" s="3" t="str">
        <x:v>N006</x:v>
      </x:c>
      <x:c r="B12" s="3" t="str">
        <x:v>p4 / 2.1, Eq. (2)</x:v>
      </x:c>
      <x:c r="C12" s="3" t="str">
        <x:v>质量比例阻尼系数 α</x:v>
      </x:c>
      <x:c r="D12" s="3" t="str">
        <x:v>0.55558524</x:v>
      </x:c>
      <x:c r="E12" s="3" t="str">
        <x:v>s^-1</x:v>
      </x:c>
      <x:c r="F12" s="3" t="str">
        <x:v>物理输入</x:v>
      </x:c>
      <x:c r="G12" s="3" t="str">
        <x:v>上游ζ=.025为仿真输入；α由无偏置ω1派生</x:v>
      </x:c>
      <x:c r="H12" s="3" t="str">
        <x:v>旧α=2×.025×11.111704736≈.5555852368 s⁻¹。若ω1取含偏置11.417287283，实际ζ1≈.02433088。新基准明确按含偏置ω1定义ζ1=.025、α=.05ω1。</x:v>
      </x:c>
      <x:c r="I12" s="3" t="str">
        <x:v>§2.1；正文明确称材料和磁场参数见 Supplementary Table S1；连续体推导见 Supplement S1。正文未给该数值对应的具体工程材料或datasheet。 本轮定位：S03/S04，sections/unified_model.tex（固定commit）。</x:v>
      </x:c>
      <x:c r="J12" s="3" t="str">
        <x:v>新α仍是等效阻尼设计值；ζ=0,.01,.025,.05,.1为敏感性情景。实物需自由衰减/扫频标定。</x:v>
      </x:c>
      <x:c r="K12" s="3" t="str">
        <x:v>S03；L16；C01</x:v>
      </x:c>
    </x:row>
    <x:row r="13" ht="85" customHeight="1">
      <x:c r="A13" s="3" t="str">
        <x:v>N007</x:v>
      </x:c>
      <x:c r="B13" s="3" t="str">
        <x:v>p4 / 2.1</x:v>
      </x:c>
      <x:c r="C13" s="3" t="str">
        <x:v>杨氏模量 E</x:v>
      </x:c>
      <x:c r="D13" s="3" t="str">
        <x:v>正文未赋数</x:v>
      </x:c>
      <x:c r="E13" s="3" t="str">
        <x:v>Pa</x:v>
      </x:c>
      <x:c r="F13" s="12" t="str">
        <x:v>物理输入/派生</x:v>
      </x:c>
      <x:c r="G13" s="12" t="str">
        <x:v>原值已补齐：E=5 MPa；仍属示例物性</x:v>
      </x:c>
      <x:c r="H13" s="3" t="str">
        <x:v>上游Supplement表3和reference_model_spec.json均给5e6 Pa，未逐项给材料出处。新方案选Cho2021同配方近似E≈2.1 MPa。</x:v>
      </x:c>
      <x:c r="I13" s="3" t="str">
        <x:v>材料参数指向Supplementary Table S1；背景引用Simo(1985)、Antman(2005)支持建模框架，不直接提供本梁E。 本轮定位：S03/S04，sections/unified_model.tex（固定commit）。</x:v>
      </x:c>
      <x:c r="J13" s="3" t="str">
        <x:v>保留约号与固化条件；不能称目标圆梁已实测。</x:v>
      </x:c>
      <x:c r="K13" s="3" t="str">
        <x:v>S03；L10</x:v>
      </x:c>
    </x:row>
    <x:row r="14" ht="100" customHeight="1">
      <x:c r="A14" s="3" t="str">
        <x:v>N008</x:v>
      </x:c>
      <x:c r="B14" s="3" t="str">
        <x:v>p4 / 2.1</x:v>
      </x:c>
      <x:c r="C14" s="3" t="str">
        <x:v>材料密度 ρ</x:v>
      </x:c>
      <x:c r="D14" s="3" t="str">
        <x:v>正文未赋数</x:v>
      </x:c>
      <x:c r="E14" s="3" t="str">
        <x:v>kg/m^3</x:v>
      </x:c>
      <x:c r="F14" s="12" t="str">
        <x:v>物理输入/派生</x:v>
      </x:c>
      <x:c r="G14" s="12" t="str">
        <x:v>原值已补齐：ρ=1100 kg/m³；仍属示例物性</x:v>
      </x:c>
      <x:c r="H14" s="3" t="str">
        <x:v>新方案采用Cho2021与E配对的ρ≈1028 kg/m³，约10 wt%固化剂，80°C/2h。</x:v>
      </x:c>
      <x:c r="I14" s="3" t="str">
        <x:v>§2.1；正文明确称材料和磁场参数见 Supplementary Table S1；连续体推导见 Supplement S1。正文未给该数值对应的具体工程材料或datasheet。 本轮定位：S03/S04，sections/unified_model.tex（固定commit）。</x:v>
      </x:c>
      <x:c r="J14" s="3" t="str">
        <x:v>不混入含铁粉复合材料密度或MRI线圈导管有效密度。</x:v>
      </x:c>
      <x:c r="K14" s="3" t="str">
        <x:v>S03；L10</x:v>
      </x:c>
    </x:row>
    <x:row r="15" ht="100" customHeight="1">
      <x:c r="A15" s="3" t="str">
        <x:v>N009</x:v>
      </x:c>
      <x:c r="B15" s="3" t="str">
        <x:v>p4 / 2.1</x:v>
      </x:c>
      <x:c r="C15" s="3" t="str">
        <x:v>端部磁矩 μ</x:v>
      </x:c>
      <x:c r="D15" s="3" t="str">
        <x:v>正文未分别赋数；仅给μB0</x:v>
      </x:c>
      <x:c r="E15" s="3" t="str">
        <x:v>A·m^2</x:v>
      </x:c>
      <x:c r="F15" s="12" t="str">
        <x:v>物理输入/派生</x:v>
      </x:c>
      <x:c r="G15" s="12" t="str">
        <x:v>原值已补齐：μ=2e−5 A·m²；无单件标定来源</x:v>
      </x:c>
      <x:c r="H15" s="3" t="str">
        <x:v>新磁芯设计a=.250 mm、N50 Br名义1.425 T，以μ≈Br a³/μ0推得1.77184e−5 A·m²；同时纳入端质量/惯量。</x:v>
      </x:c>
      <x:c r="I15" s="3" t="str">
        <x:v>§2.1；正文明确称材料和磁场参数见 Supplementary Table S1；连续体推导见 Supplement S1。正文未给该数值对应的具体工程材料或datasheet。 本轮定位：S03/S04，sections/unified_model.tex（固定commit）。</x:v>
      </x:c>
      <x:c r="J15" s="3" t="str">
        <x:v>牌号区间仅传播Br；实物还需芯尺寸、磁化、温度、封装和磁矩标定。</x:v>
      </x:c>
      <x:c r="K15" s="3" t="str">
        <x:v>S03；L11–L14</x:v>
      </x:c>
    </x:row>
    <x:row r="16" ht="100" customHeight="1">
      <x:c r="A16" s="3" t="str">
        <x:v>N010</x:v>
      </x:c>
      <x:c r="B16" s="3" t="str">
        <x:v>p4 / 2.1</x:v>
      </x:c>
      <x:c r="C16" s="3" t="str">
        <x:v>静态偏置磁场 B0</x:v>
      </x:c>
      <x:c r="D16" s="3" t="str">
        <x:v>正文未分别赋数；仅给μB0</x:v>
      </x:c>
      <x:c r="E16" s="3" t="str">
        <x:v>T</x:v>
      </x:c>
      <x:c r="F16" s="12" t="str">
        <x:v>物理输入/派生</x:v>
      </x:c>
      <x:c r="G16" s="12" t="str">
        <x:v>原值已补齐：B0=30 mT；保留为场强设计点</x:v>
      </x:c>
      <x:c r="H16" s="3" t="str">
        <x:v>同级磁控系统文献支持几十mT能力；By=6/20 mT与30 mT正交偏置的总模为30.594/36.056 mT。能力对照不等于本文装置标定。</x:v>
      </x:c>
      <x:c r="I16" s="3" t="str">
        <x:v>§2.1；正文明确称材料和磁场参数见 Supplementary Table S1；连续体推导见 Supplement S1。正文未给该数值对应的具体工程材料或datasheet。 本轮定位：S03/S04，sections/unified_model.tex（固定commit）。</x:v>
      </x:c>
      <x:c r="J16" s="3" t="str">
        <x:v>同时场/梯度、工作区、连续电流、温升与带宽须通过具体线圈模型或标定确认。</x:v>
      </x:c>
      <x:c r="K16" s="3" t="str">
        <x:v>S03；L15</x:v>
      </x:c>
    </x:row>
    <x:row r="17" ht="100" customHeight="1">
      <x:c r="A17" s="3" t="str">
        <x:v>N011</x:v>
      </x:c>
      <x:c r="B17" s="3" t="str">
        <x:v>p4 / 2.1</x:v>
      </x:c>
      <x:c r="C17" s="3" t="str">
        <x:v>分布阻尼 cd</x:v>
      </x:c>
      <x:c r="D17" s="3" t="str">
        <x:v>正文未赋数；cd=αρAc</x:v>
      </x:c>
      <x:c r="E17" s="3" t="str">
        <x:v>kg/(m·s)</x:v>
      </x:c>
      <x:c r="F17" s="12" t="str">
        <x:v>物理输入/派生</x:v>
      </x:c>
      <x:c r="G17" s="12" t="str">
        <x:v>可按上游参数公式派生</x:v>
      </x:c>
      <x:c r="H17" s="3" t="str">
        <x:v>原cd=αρA≈6.91187309e−4 N·s/m²。新基准C=αM_total，包含磁芯对应等效端阻尼；不能仅换密度后把旧cd继续当实测。</x:v>
      </x:c>
      <x:c r="I17" s="3" t="str">
        <x:v>§2.1；正文明确称材料和磁场参数见 Supplementary Table S1；连续体推导见 Supplement S1。正文未给该数值对应的具体工程材料或datasheet。 本轮定位：S03/S04，sections/unified_model.tex（固定commit）。</x:v>
      </x:c>
      <x:c r="J17" s="3" t="str">
        <x:v>C∝M为等效模型假设，不代表已识别出空气/水中材料阻尼分布。</x:v>
      </x:c>
      <x:c r="K17" s="3" t="str">
        <x:v>S03；C01</x:v>
      </x:c>
    </x:row>
    <x:row r="18" ht="70" customHeight="1">
      <x:c r="A18" s="3" t="str">
        <x:v>N012</x:v>
      </x:c>
      <x:c r="B18" s="3" t="str">
        <x:v>p5 / 2.1</x:v>
      </x:c>
      <x:c r="C18" s="3" t="str">
        <x:v>学习用保留模态数</x:v>
      </x:c>
      <x:c r="D18" s="3" t="str">
        <x:v>2</x:v>
      </x:c>
      <x:c r="E18" s="3" t="str">
        <x:v>个</x:v>
      </x:c>
      <x:c r="F18" s="3" t="str">
        <x:v>作者选择</x:v>
      </x:c>
      <x:c r="G18" s="3" t="str">
        <x:v>作者设定；可追溯至原稿/补充协议，非外部实测值</x:v>
      </x:c>
      <x:c r="H18" s="3" t="str">
        <x:v>保留2模态用于最小学习/控制例子；原稿2/4/8/64模态比较属于旧基准。本轮前4频率收敛与两路线算例不证明新基准2模态已足够。</x:v>
      </x:c>
      <x:c r="I18" s="3" t="str">
        <x:v>§2.1 “two-mode learning model”；模型推导见Supplement S1。 本轮定位：S03/S04，sections/unified_model.tex（固定commit）。</x:v>
      </x:c>
      <x:c r="J18" s="3" t="str">
        <x:v>用于真实受迫响应或全梁误差结论前，须重新做2/4/8/全阶轨迹比较。</x:v>
      </x:c>
      <x:c r="K18" s="3" t="str"/>
    </x:row>
    <x:row r="19" ht="85" customHeight="1">
      <x:c r="A19" s="3" t="str">
        <x:v>N013</x:v>
      </x:c>
      <x:c r="B19" s="3" t="str">
        <x:v>p5 / 2.1</x:v>
      </x:c>
      <x:c r="C19" s="3" t="str">
        <x:v>参考角频率 ω0=ω1</x:v>
      </x:c>
      <x:c r="D19" s="3" t="str">
        <x:v>≈11.417287283</x:v>
      </x:c>
      <x:c r="E19" s="3" t="str">
        <x:v>rad/s</x:v>
      </x:c>
      <x:c r="F19" s="11" t="str">
        <x:v>公式派生</x:v>
      </x:c>
      <x:c r="G19" s="3" t="str">
        <x:v>基于已补齐示例输入的FE派生值，非独立文献输入</x:v>
      </x:c>
      <x:c r="H19" s="3" t="str">
        <x:v>原值与Hermite FE重建一致；新E、ρ、μ、端质量改变后需重新求广义特征问题及平衡坐标。新输出见“建模参数依据”和复算包。</x:v>
      </x:c>
      <x:c r="I19" s="3" t="str">
        <x:v>§2.1；由Φ^TMΦ=I、Φ^TKbΦ=diag(ωj^2)导出；使用full exported coefficients。 本轮定位：S03/S04，sections/unified_model.tex（固定commit）。</x:v>
      </x:c>
      <x:c r="J19" s="3" t="str">
        <x:v>不得在新物性下沿用旧ω、ν、d、ℓ。</x:v>
      </x:c>
      <x:c r="K19" s="3" t="str">
        <x:v>S03；C01</x:v>
      </x:c>
    </x:row>
    <x:row r="20" ht="55" customHeight="1">
      <x:c r="A20" s="3" t="str">
        <x:v>N014</x:v>
      </x:c>
      <x:c r="B20" s="3" t="str">
        <x:v>p5 / 2.1</x:v>
      </x:c>
      <x:c r="C20" s="3" t="str">
        <x:v>无量纲模态频率 ν</x:v>
      </x:c>
      <x:c r="D20" s="3" t="str">
        <x:v>≈(1, 6.152117504)</x:v>
      </x:c>
      <x:c r="E20" s="3" t="str">
        <x:v>无量纲</x:v>
      </x:c>
      <x:c r="F20" s="11" t="str">
        <x:v>公式派生</x:v>
      </x:c>
      <x:c r="G20" s="3" t="str">
        <x:v>基于已补齐示例输入的FE派生值，非独立文献输入</x:v>
      </x:c>
      <x:c r="H20" s="3" t="str">
        <x:v>原值与Hermite FE重建一致；新E、ρ、μ、端质量改变后需重新求广义特征问题及平衡坐标。新输出见“建模参数依据”和复算包。</x:v>
      </x:c>
      <x:c r="I20" s="3" t="str">
        <x:v>§2.1；νj=ωj/ω0；固定chart式(3)。 本轮定位：S03/S04，sections/unified_model.tex（固定commit）。</x:v>
      </x:c>
      <x:c r="J20" s="3" t="str">
        <x:v>不得在新物性下沿用旧ω、ν、d、ℓ。</x:v>
      </x:c>
      <x:c r="K20" s="3" t="str">
        <x:v>S03；C01</x:v>
      </x:c>
    </x:row>
    <x:row r="21" ht="85" customHeight="1">
      <x:c r="A21" s="3" t="str">
        <x:v>N015</x:v>
      </x:c>
      <x:c r="B21" s="3" t="str">
        <x:v>p5 / 2.1</x:v>
      </x:c>
      <x:c r="C21" s="3" t="str">
        <x:v>模态端部转角向量 d</x:v>
      </x:c>
      <x:c r="D21" s="3" t="str">
        <x:v>≈(0.225670773, 0.321798806)^T</x:v>
      </x:c>
      <x:c r="E21" s="3" t="str">
        <x:v>无量纲</x:v>
      </x:c>
      <x:c r="F21" s="11" t="str">
        <x:v>公式派生</x:v>
      </x:c>
      <x:c r="G21" s="3" t="str">
        <x:v>基于已补齐示例输入的FE派生值，非独立文献输入</x:v>
      </x:c>
      <x:c r="H21" s="3" t="str">
        <x:v>原值与Hermite FE重建一致；新E、ρ、μ、端质量改变后需重新求广义特征问题及平衡坐标。新输出见“建模参数依据”和复算包。</x:v>
      </x:c>
      <x:c r="I21" s="3" t="str">
        <x:v>§2.1；d=S^T eθ，S=Φ diag(Sj)，所有计算用full exported coefficients。 本轮定位：S03/S04，sections/unified_model.tex（固定commit）。</x:v>
      </x:c>
      <x:c r="J21" s="3" t="str">
        <x:v>不得在新物性下沿用旧ω、ν、d、ℓ。</x:v>
      </x:c>
      <x:c r="K21" s="3" t="str">
        <x:v>S03；C01</x:v>
      </x:c>
    </x:row>
    <x:row r="22" ht="70" customHeight="1">
      <x:c r="A22" s="3" t="str">
        <x:v>N016</x:v>
      </x:c>
      <x:c r="B22" s="3" t="str">
        <x:v>p5 / 2.1</x:v>
      </x:c>
      <x:c r="C22" s="3" t="str">
        <x:v>端部位移读出 ℓ(L)</x:v>
      </x:c>
      <x:c r="D22" s="3" t="str">
        <x:v>≈(0.013506054, 0.005470926)^T</x:v>
      </x:c>
      <x:c r="E22" s="3" t="str">
        <x:v>m</x:v>
      </x:c>
      <x:c r="F22" s="11" t="str">
        <x:v>公式派生</x:v>
      </x:c>
      <x:c r="G22" s="3" t="str">
        <x:v>基于已补齐示例输入的FE派生值，非独立文献输入</x:v>
      </x:c>
      <x:c r="H22" s="3" t="str">
        <x:v>原值与Hermite FE重建一致；新E、ρ、μ、端质量改变后需重新求广义特征问题及平衡坐标。新输出见“建模参数依据”和复算包。</x:v>
      </x:c>
      <x:c r="I22" s="3" t="str">
        <x:v>§2.1；ℓ(s)^T=N(s)S；计算用full exported coefficients。 本轮定位：S03/S04，sections/unified_model.tex（固定commit）。</x:v>
      </x:c>
      <x:c r="J22" s="3" t="str">
        <x:v>不得在新物性下沿用旧ω、ν、d、ℓ。</x:v>
      </x:c>
      <x:c r="K22" s="3" t="str">
        <x:v>S03；C01</x:v>
      </x:c>
    </x:row>
    <x:row r="23" ht="85" customHeight="1">
      <x:c r="A23" s="3" t="str">
        <x:v>N017</x:v>
      </x:c>
      <x:c r="B23" s="3" t="str">
        <x:v>p6 / 3.1; Table 2</x:v>
      </x:c>
      <x:c r="C23" s="3" t="str">
        <x:v>积分误差测试的被测拟合模型</x:v>
      </x:c>
      <x:c r="D23" s="3" t="str">
        <x:v>GC17，即先验约束复数表示、训练seed=17</x:v>
      </x:c>
      <x:c r="E23" s="3" t="str">
        <x:v>模型标识</x:v>
      </x:c>
      <x:c r="F23" s="3" t="str">
        <x:v>作者选择</x:v>
      </x:c>
      <x:c r="G23" s="3" t="str">
        <x:v>作者设定；可追溯至原稿/补充协议，非外部实测值</x:v>
      </x:c>
      <x:c r="H23" s="3" t="str">
        <x:v>正文明确保留GC17的完整cosine与quartic项，不能拿物理target系数替代复算。</x:v>
      </x:c>
      <x:c r="I23" s="3" t="str">
        <x:v>§3.1；GC17定义在§3.3；完整检验指向Supplementary Section S9.1。 本轮定位：S03/S04，sections/unified_integrator_check.tex（固定commit）。</x:v>
      </x:c>
      <x:c r="J23" s="3" t="str">
        <x:v>GC17的全部η系数、特征基U与S9.1脚本。</x:v>
      </x:c>
      <x:c r="K23" s="3" t="str"/>
    </x:row>
    <x:row r="24" ht="85" customHeight="1">
      <x:c r="A24" s="3" t="str">
        <x:v>N018</x:v>
      </x:c>
      <x:c r="B24" s="3" t="str">
        <x:v>p6 / 3.1</x:v>
      </x:c>
      <x:c r="C24" s="3" t="str">
        <x:v>积分测试初值 x(0)</x:v>
      </x:c>
      <x:c r="D24" s="3" t="str">
        <x:v>(0.1, 0.06, 0, 0.02)</x:v>
      </x:c>
      <x:c r="E24" s="3" t="str">
        <x:v>无量纲</x:v>
      </x:c>
      <x:c r="F24" s="3" t="str">
        <x:v>作者选择</x:v>
      </x:c>
      <x:c r="G24" s="3" t="str">
        <x:v>作者设定；可追溯至原稿/补充协议，非外部实测值</x:v>
      </x:c>
      <x:c r="H24" s="3" t="str">
        <x:v>四分量顺序与式(5)前定义的x=(X,Y)一致。</x:v>
      </x:c>
      <x:c r="I24" s="3" t="str">
        <x:v>§3.1；x=(X1,X2,Y1,Y2)，计算设置见Supplementary Section S9.1。 本轮定位：S03/S04，sections/unified_integrator_check.tex（固定commit）。</x:v>
      </x:c>
      <x:c r="J24" s="3" t="str">
        <x:v>S9.1初值配置及GC17模型。</x:v>
      </x:c>
      <x:c r="K24" s="3" t="str"/>
    </x:row>
    <x:row r="25" ht="70" customHeight="1">
      <x:c r="A25" s="3" t="str">
        <x:v>N019</x:v>
      </x:c>
      <x:c r="B25" s="3" t="str">
        <x:v>p6 / 3.1</x:v>
      </x:c>
      <x:c r="C25" s="3" t="str">
        <x:v>积分误差测试终止时间</x:v>
      </x:c>
      <x:c r="D25" s="3" t="str">
        <x:v>τ=10</x:v>
      </x:c>
      <x:c r="E25" s="3" t="str">
        <x:v>无量纲时间</x:v>
      </x:c>
      <x:c r="F25" s="3" t="str">
        <x:v>作者选择</x:v>
      </x:c>
      <x:c r="G25" s="3" t="str">
        <x:v>作者设定；可追溯至原稿/补充协议，非外部实测值</x:v>
      </x:c>
      <x:c r="H25" s="3" t="str">
        <x:v>按显示ω0折算约0.8758647963 s。</x:v>
      </x:c>
      <x:c r="I25" s="3" t="str">
        <x:v>§3.1；Supplementary Section S9.1。 本轮定位：S03/S04，sections/unified_integrator_check.tex（固定commit）。</x:v>
      </x:c>
      <x:c r="J25" s="3" t="str">
        <x:v>S9.1脚本。</x:v>
      </x:c>
      <x:c r="K25" s="3" t="str"/>
    </x:row>
    <x:row r="26" ht="70" customHeight="1">
      <x:c r="A26" s="3" t="str">
        <x:v>N020</x:v>
      </x:c>
      <x:c r="B26" s="3" t="str">
        <x:v>p6 / 3.1; Table 2</x:v>
      </x:c>
      <x:c r="C26" s="3" t="str">
        <x:v>步长减半序列 Δ</x:v>
      </x:c>
      <x:c r="D26" s="3" t="str">
        <x:v>0.08, 0.04, 0.02, 0.01</x:v>
      </x:c>
      <x:c r="E26" s="3" t="str">
        <x:v>无量纲时间</x:v>
      </x:c>
      <x:c r="F26" s="3" t="str">
        <x:v>作者选择</x:v>
      </x:c>
      <x:c r="G26" s="3" t="str">
        <x:v>作者设定；可追溯至原稿/补充协议，非外部实测值</x:v>
      </x:c>
      <x:c r="H26" s="3" t="str">
        <x:v>τ=10分别对应125、250、500、1000步，均为整数。</x:v>
      </x:c>
      <x:c r="I26" s="3" t="str">
        <x:v>Table 2；Supplementary Section S9.1。 本轮定位：S03/S04，sections/unified_integrator_check.tex（固定commit）。</x:v>
      </x:c>
      <x:c r="J26" s="3" t="str">
        <x:v>S9.1积分代码、隐式迭代终止准则。</x:v>
      </x:c>
      <x:c r="K26" s="3" t="str"/>
    </x:row>
    <x:row r="27" ht="70" customHeight="1">
      <x:c r="A27" s="3" t="str">
        <x:v>N021</x:v>
      </x:c>
      <x:c r="B27" s="3" t="str">
        <x:v>p6 / 3.1; Table 2</x:v>
      </x:c>
      <x:c r="C27" s="3" t="str">
        <x:v>Midpoint终点欧氏状态误差</x:v>
      </x:c>
      <x:c r="D27" s="3" t="str">
        <x:v>7.1351×10^-2; 1.9383×10^-2; 4.8966×10^-3; 1.2265×10^-3（依次对应Δ=0.08,0.04,0.02,0.01）</x:v>
      </x:c>
      <x:c r="E27" s="3" t="str">
        <x:v>无量纲</x:v>
      </x:c>
      <x:c r="F27" s="3" t="str">
        <x:v>仿真输出</x:v>
      </x:c>
      <x:c r="G27" s="3" t="str">
        <x:v>原基准计算输出；已定位补充说明，本轮未逐项重跑</x:v>
      </x:c>
      <x:c r="H27" s="3" t="str">
        <x:v>由显示值可核算相邻收敛阶；无法由正文重现状态误差本身。</x:v>
      </x:c>
      <x:c r="I27" s="3" t="str">
        <x:v>Table 2；与DOP853 reference比较；完整检查见S9.1。 本轮定位：S03/S04，sections/unified_integrator_check.tex（固定commit）。</x:v>
      </x:c>
      <x:c r="J27" s="3" t="str">
        <x:v>采用新物理基准时须重生成轨迹、训练与对应输出；不能以文献引用替代运行。</x:v>
      </x:c>
      <x:c r="K27" s="3" t="str"/>
    </x:row>
    <x:row r="28" ht="70" customHeight="1">
      <x:c r="A28" s="3" t="str">
        <x:v>N022</x:v>
      </x:c>
      <x:c r="B28" s="3" t="str">
        <x:v>p6 / 3.1; Table 2</x:v>
      </x:c>
      <x:c r="C28" s="3" t="str">
        <x:v>Midpoint观察收敛阶</x:v>
      </x:c>
      <x:c r="D28" s="3" t="str">
        <x:v>—; 1.8802; 1.9849; 1.9972</x:v>
      </x:c>
      <x:c r="E28" s="3" t="str">
        <x:v>无量纲</x:v>
      </x:c>
      <x:c r="F28" s="11" t="str">
        <x:v>公式派生</x:v>
      </x:c>
      <x:c r="G28" s="3" t="str">
        <x:v>可由表中误差近似复算</x:v>
      </x:c>
      <x:c r="H28" s="3" t="str">
        <x:v>用显示误差log2(eΔ/eΔ/2)得1.8801418、1.9849396、1.9972331；末位差可由原误差舍入解释。</x:v>
      </x:c>
      <x:c r="I28" s="3" t="str">
        <x:v>Table 2；orders use successive step halvings。 本轮定位：S03/S04，sections/unified_integrator_check.tex（固定commit）。</x:v>
      </x:c>
      <x:c r="J28" s="3" t="str">
        <x:v>如需末位一致，需未舍入原误差。</x:v>
      </x:c>
      <x:c r="K28" s="3" t="str"/>
    </x:row>
    <x:row r="29" ht="70" customHeight="1">
      <x:c r="A29" s="3" t="str">
        <x:v>N023</x:v>
      </x:c>
      <x:c r="B29" s="3" t="str">
        <x:v>p6 / 3.1; Table 2</x:v>
      </x:c>
      <x:c r="C29" s="3" t="str">
        <x:v>Central4终点欧氏状态误差</x:v>
      </x:c>
      <x:c r="D29" s="3" t="str">
        <x:v>1.8346×10^-3; 1.1784×10^-4; 7.4149×10^-6; 4.6422×10^-7（依次对应Δ=0.08,0.04,0.02,0.01）</x:v>
      </x:c>
      <x:c r="E29" s="3" t="str">
        <x:v>无量纲</x:v>
      </x:c>
      <x:c r="F29" s="3" t="str">
        <x:v>仿真输出</x:v>
      </x:c>
      <x:c r="G29" s="3" t="str">
        <x:v>原基准计算输出；已定位补充说明，本轮未逐项重跑</x:v>
      </x:c>
      <x:c r="H29" s="3" t="str">
        <x:v>约按步长四次方下降，与理论四阶一致，但阶数趋势不独立认证误差绝对值。</x:v>
      </x:c>
      <x:c r="I29" s="3" t="str">
        <x:v>Table 2；DOP853 reference；Supplementary Section S9.1。 本轮定位：S03/S04，sections/unified_integrator_check.tex（固定commit）。</x:v>
      </x:c>
      <x:c r="J29" s="3" t="str">
        <x:v>采用新物理基准时须重生成轨迹、训练与对应输出；不能以文献引用替代运行。</x:v>
      </x:c>
      <x:c r="K29" s="3" t="str"/>
    </x:row>
    <x:row r="30" ht="70" customHeight="1">
      <x:c r="A30" s="3" t="str">
        <x:v>N024</x:v>
      </x:c>
      <x:c r="B30" s="3" t="str">
        <x:v>p6 / 3.1; Table 2</x:v>
      </x:c>
      <x:c r="C30" s="3" t="str">
        <x:v>Central4观察收敛阶</x:v>
      </x:c>
      <x:c r="D30" s="3" t="str">
        <x:v>—; 3.9606; 3.9902; 3.9976</x:v>
      </x:c>
      <x:c r="E30" s="3" t="str">
        <x:v>无量纲</x:v>
      </x:c>
      <x:c r="F30" s="11" t="str">
        <x:v>公式派生</x:v>
      </x:c>
      <x:c r="G30" s="3" t="str">
        <x:v>可由表中误差近似复算</x:v>
      </x:c>
      <x:c r="H30" s="3" t="str">
        <x:v>显示误差给3.9605643、3.9902583、3.9975467；末位差可由舍入解释。</x:v>
      </x:c>
      <x:c r="I30" s="3" t="str">
        <x:v>Table 2；orders use successive step halvings。 本轮定位：S03/S04，sections/unified_integrator_check.tex（固定commit）。</x:v>
      </x:c>
      <x:c r="J30" s="3" t="str">
        <x:v>如需末位一致，需未舍入原误差。</x:v>
      </x:c>
      <x:c r="K30" s="3" t="str"/>
    </x:row>
    <x:row r="31" ht="85" customHeight="1">
      <x:c r="A31" s="3" t="str">
        <x:v>N025</x:v>
      </x:c>
      <x:c r="B31" s="3" t="str">
        <x:v>p6 / 3.1</x:v>
      </x:c>
      <x:c r="C31" s="3" t="str">
        <x:v>DOP853参考解容差加严后的最大逐分量变化</x:v>
      </x:c>
      <x:c r="D31" s="3" t="str">
        <x:v>≤8.32×10^-14</x:v>
      </x:c>
      <x:c r="E31" s="3" t="str">
        <x:v>无量纲状态</x:v>
      </x:c>
      <x:c r="F31" s="3" t="str">
        <x:v>仿真输出</x:v>
      </x:c>
      <x:c r="G31" s="3" t="str">
        <x:v>原基准计算输出；已定位补充说明，本轮未逐项重跑</x:v>
      </x:c>
      <x:c r="H31" s="3" t="str">
        <x:v>文中准确描述为容差加严的解差，不能把该值自动等同参考解对真解的rigorous误差。</x:v>
      </x:c>
      <x:c r="I31" s="3" t="str">
        <x:v>§3.1；Supplementary Section S9.1给solver tolerances及complete checks。 本轮定位：S03/S04，sections/unified_integrator_check.tex（固定commit）。</x:v>
      </x:c>
      <x:c r="J31" s="3" t="str">
        <x:v>采用新物理基准时须重生成轨迹、训练与对应输出；不能以文献引用替代运行。</x:v>
      </x:c>
      <x:c r="K31" s="3" t="str"/>
    </x:row>
    <x:row r="32" ht="70" customHeight="1">
      <x:c r="A32" s="3" t="str">
        <x:v>N026</x:v>
      </x:c>
      <x:c r="B32" s="3" t="str">
        <x:v>p6 / 3.1</x:v>
      </x:c>
      <x:c r="C32" s="3" t="str">
        <x:v>最大隐式方程残差</x:v>
      </x:c>
      <x:c r="D32" s="3" t="str">
        <x:v>2.00×10^-15</x:v>
      </x:c>
      <x:c r="E32" s="3" t="str">
        <x:v>无量纲状态</x:v>
      </x:c>
      <x:c r="F32" s="3" t="str">
        <x:v>仿真输出</x:v>
      </x:c>
      <x:c r="G32" s="3" t="str">
        <x:v>原基准计算输出；已定位补充说明，本轮未逐项重跑</x:v>
      </x:c>
      <x:c r="H32" s="3" t="str">
        <x:v>小残差支持求解准确，但需雅可比条件数才能把残差直接转成状态误差。</x:v>
      </x:c>
      <x:c r="I32" s="3" t="str">
        <x:v>§3.1；Supplementary Section S9.1。 本轮定位：S03/S04，sections/unified_integrator_check.tex（固定commit）。</x:v>
      </x:c>
      <x:c r="J32" s="3" t="str">
        <x:v>采用新物理基准时须重生成轨迹、训练与对应输出；不能以文献引用替代运行。</x:v>
      </x:c>
      <x:c r="K32" s="3" t="str"/>
    </x:row>
    <x:row r="33" ht="70" customHeight="1">
      <x:c r="A33" s="3" t="str">
        <x:v>N027</x:v>
      </x:c>
      <x:c r="B33" s="3" t="str">
        <x:v>p6 / 3.1</x:v>
      </x:c>
      <x:c r="C33" s="3" t="str">
        <x:v>Central4最大数值辛性缺陷</x:v>
      </x:c>
      <x:c r="D33" s="3" t="str">
        <x:v>3.34×10^-16</x:v>
      </x:c>
      <x:c r="E33" s="3" t="str">
        <x:v>无量纲</x:v>
      </x:c>
      <x:c r="F33" s="3" t="str">
        <x:v>仿真输出</x:v>
      </x:c>
      <x:c r="G33" s="3" t="str">
        <x:v>原基准计算输出；已定位补充说明，本轮未逐项重跑</x:v>
      </x:c>
      <x:c r="H33" s="3" t="str">
        <x:v>该值接近双精度舍入量级。不能仅据此保证任意有限精度步数下严格辛性。</x:v>
      </x:c>
      <x:c r="I33" s="3" t="str">
        <x:v>§3.1；Supplementary Section S9.1。 本轮定位：S03/S04，sections/unified_integrator_check.tex（固定commit）。</x:v>
      </x:c>
      <x:c r="J33" s="3" t="str">
        <x:v>采用新物理基准时须重生成轨迹、训练与对应输出；不能以文献引用替代运行。</x:v>
      </x:c>
      <x:c r="K33" s="3" t="str"/>
    </x:row>
    <x:row r="34" ht="70" customHeight="1">
      <x:c r="A34" s="3" t="str">
        <x:v>N028</x:v>
      </x:c>
      <x:c r="B34" s="3" t="str">
        <x:v>p6 / 3.1</x:v>
      </x:c>
      <x:c r="C34" s="3" t="str">
        <x:v>Midpoint最大数值辛性缺陷</x:v>
      </x:c>
      <x:c r="D34" s="3" t="str">
        <x:v>2.24×10^-16</x:v>
      </x:c>
      <x:c r="E34" s="3" t="str">
        <x:v>无量纲</x:v>
      </x:c>
      <x:c r="F34" s="3" t="str">
        <x:v>仿真输出</x:v>
      </x:c>
      <x:c r="G34" s="3" t="str">
        <x:v>原基准计算输出；已定位补充说明，本轮未逐项重跑</x:v>
      </x:c>
      <x:c r="H34" s="3" t="str">
        <x:v>与解析辛性结论相容。</x:v>
      </x:c>
      <x:c r="I34" s="3" t="str">
        <x:v>§3.1；Supplementary Section S9.1。 本轮定位：S03/S04，sections/unified_integrator_check.tex（固定commit）。</x:v>
      </x:c>
      <x:c r="J34" s="3" t="str">
        <x:v>采用新物理基准时须重生成轨迹、训练与对应输出；不能以文献引用替代运行。</x:v>
      </x:c>
      <x:c r="K34" s="3" t="str"/>
    </x:row>
    <x:row r="35" ht="70" customHeight="1">
      <x:c r="A35" s="3" t="str">
        <x:v>N029</x:v>
      </x:c>
      <x:c r="B35" s="3" t="str">
        <x:v>p6 / 3.1</x:v>
      </x:c>
      <x:c r="C35" s="3" t="str">
        <x:v>独立有限差分切线与解析切线最大差异</x:v>
      </x:c>
      <x:c r="D35" s="3" t="str">
        <x:v>≤1.39×10^-12</x:v>
      </x:c>
      <x:c r="E35" s="3" t="str">
        <x:v>无量纲</x:v>
      </x:c>
      <x:c r="F35" s="3" t="str">
        <x:v>仿真输出</x:v>
      </x:c>
      <x:c r="G35" s="3" t="str">
        <x:v>原基准计算输出；已定位补充说明，本轮未逐项重跑</x:v>
      </x:c>
      <x:c r="H35" s="3" t="str">
        <x:v>只能核验所测点/步长处的实现；正文未给差分步长、阶数和差异范数。</x:v>
      </x:c>
      <x:c r="I35" s="3" t="str">
        <x:v>§3.1；Supplementary Section S9.1。 本轮定位：S03/S04，sections/unified_integrator_check.tex（固定commit）。</x:v>
      </x:c>
      <x:c r="J35" s="3" t="str">
        <x:v>采用新物理基准时须重生成轨迹、训练与对应输出；不能以文献引用替代运行。</x:v>
      </x:c>
      <x:c r="K35" s="3" t="str"/>
    </x:row>
    <x:row r="36" ht="70" customHeight="1">
      <x:c r="A36" s="3" t="str">
        <x:v>N030</x:v>
      </x:c>
      <x:c r="B36" s="3" t="str">
        <x:v>p6 / 3.1</x:v>
      </x:c>
      <x:c r="C36" s="3" t="str">
        <x:v>实际求解器容差/迭代参数</x:v>
      </x:c>
      <x:c r="D36" s="3" t="str">
        <x:v>正文未赋rtol、atol、Newton容差和最大迭代数</x:v>
      </x:c>
      <x:c r="E36" s="3" t="str">
        <x:v>依各算法而定</x:v>
      </x:c>
      <x:c r="F36" s="12" t="str">
        <x:v>缺失基础参数</x:v>
      </x:c>
      <x:c r="G36" s="12" t="str">
        <x:v>部分已补；Newton预设参数仍未核</x:v>
      </x:c>
      <x:c r="H36" s="3" t="str">
        <x:v>S9.1给出DOP853参考rtol=3e-14、atol=3e-16；较松参考2e-13/2e-15用于细化比较。最大实测隐式残差2e-15、最多3次Newton求值是观测结果，不能填成预设tol/maxiter。</x:v>
      </x:c>
      <x:c r="I36" s="3" t="str">
        <x:v>S04固定commit：sections/unified_integrator_check.tex S9.1</x:v>
      </x:c>
      <x:c r="J36" s="3" t="str">
        <x:v>Newton预设残差或增量停止阈值；预设最大迭代数；初始迭代猜测与失败处理</x:v>
      </x:c>
      <x:c r="K36" s="3" t="str">
        <x:v>S04</x:v>
      </x:c>
    </x:row>
    <x:row r="37" ht="70" customHeight="1">
      <x:c r="A37" s="3" t="str">
        <x:v>N031</x:v>
      </x:c>
      <x:c r="B37" s="3" t="str">
        <x:v>p6 / 3.2, Eq. (20)</x:v>
      </x:c>
      <x:c r="C37" s="3" t="str">
        <x:v>四变量四次齐次单项式数量与正交补维数</x:v>
      </x:c>
      <x:c r="D37" s="3" t="str">
        <x:v>35 个单项式；U有34列</x:v>
      </x:c>
      <x:c r="E37" s="3" t="str">
        <x:v>个</x:v>
      </x:c>
      <x:c r="F37" s="11" t="str">
        <x:v>公式派生</x:v>
      </x:c>
      <x:c r="G37" s="3" t="str">
        <x:v>可组合计数复算，不是外部工程数据</x:v>
      </x:c>
      <x:c r="H37" s="3" t="str">
        <x:v>C(7,4)=35；去掉非零v4方向后的维数为34。</x:v>
      </x:c>
      <x:c r="I37" s="3" t="str">
        <x:v>§3.2与式(20)，由有限特征类构造决定。 本轮定位：S03/S04，sections/unified_experiments.tex（固定commit）。</x:v>
      </x:c>
      <x:c r="J37" s="3" t="str">
        <x:v>若需复现数值，仍需单项式排序、v4与U的明确矩阵。</x:v>
      </x:c>
      <x:c r="K37" s="3" t="str"/>
    </x:row>
    <x:row r="38" ht="70" customHeight="1">
      <x:c r="A38" s="3" t="str">
        <x:v>N032</x:v>
      </x:c>
      <x:c r="B38" s="3" t="str">
        <x:v>p7 / 3.3</x:v>
      </x:c>
      <x:c r="C38" s="3" t="str">
        <x:v>拟合参数数目</x:v>
      </x:c>
      <x:c r="D38" s="3" t="str">
        <x:v>GR/GC各35；BR/BC各45；后者含10个自由二次系数</x:v>
      </x:c>
      <x:c r="E38" s="3" t="str">
        <x:v>个</x:v>
      </x:c>
      <x:c r="F38" s="11" t="str">
        <x:v>公式派生</x:v>
      </x:c>
      <x:c r="G38" s="3" t="str">
        <x:v>可计数复算</x:v>
      </x:c>
      <x:c r="H38" s="3" t="str">
        <x:v>四变量齐次二次单项式C(5,2)=10；35+10=45。</x:v>
      </x:c>
      <x:c r="I38" s="3" t="str">
        <x:v>§3.3；式(20)特征及自由二次能量。 本轮定位：S03/S04，sections/unified_experiments.tex（固定commit）。</x:v>
      </x:c>
      <x:c r="J38" s="3" t="str">
        <x:v>特征顺序及先验约束实现。</x:v>
      </x:c>
      <x:c r="K38" s="3" t="str"/>
    </x:row>
    <x:row r="39" ht="85" customHeight="1">
      <x:c r="A39" s="3" t="str">
        <x:v>N033</x:v>
      </x:c>
      <x:c r="B39" s="3" t="str">
        <x:v>p7 / 3.3</x:v>
      </x:c>
      <x:c r="C39" s="3" t="str">
        <x:v>训练随机种子与重复次数</x:v>
      </x:c>
      <x:c r="D39" s="3" t="str">
        <x:v>3个种子：17,43,91</x:v>
      </x:c>
      <x:c r="E39" s="3" t="str">
        <x:v>个/种子编号</x:v>
      </x:c>
      <x:c r="F39" s="3" t="str">
        <x:v>作者选择</x:v>
      </x:c>
      <x:c r="G39" s="3" t="str">
        <x:v>作者设定；可追溯至原稿/补充协议，非外部实测值</x:v>
      </x:c>
      <x:c r="H39" s="3" t="str">
        <x:v>配对比较按同一seed进行；n=3为描述性而非强统计结论，正文亦如此限定。</x:v>
      </x:c>
      <x:c r="I39" s="3" t="str">
        <x:v>§3.3；initial-state sampling、regularization、solver tolerances见Supplementary Section S5.1。 本轮定位：S03/S04，sections/unified_experiments.tex（固定commit）。</x:v>
      </x:c>
      <x:c r="J39" s="3" t="str">
        <x:v>S5.1随机生成器、种子使用位置和脚本。</x:v>
      </x:c>
      <x:c r="K39" s="3" t="str"/>
    </x:row>
    <x:row r="40" ht="85" customHeight="1">
      <x:c r="A40" s="3" t="str">
        <x:v>N034</x:v>
      </x:c>
      <x:c r="B40" s="3" t="str">
        <x:v>p7 / 3.3</x:v>
      </x:c>
      <x:c r="C40" s="3" t="str">
        <x:v>每个种子的保守训练轨迹设计</x:v>
      </x:c>
      <x:c r="D40" s="3" t="str">
        <x:v>12条轨迹；每条4 s；每条129个观测</x:v>
      </x:c>
      <x:c r="E40" s="3" t="str">
        <x:v>条、s、个</x:v>
      </x:c>
      <x:c r="F40" s="3" t="str">
        <x:v>作者选择</x:v>
      </x:c>
      <x:c r="G40" s="3" t="str">
        <x:v>作者设定；可追溯至原稿/补充协议，非外部实测值</x:v>
      </x:c>
      <x:c r="H40" s="3" t="str">
        <x:v>每seed共1548个观测状态；若每状态4导数标签则6192个标量标签。</x:v>
      </x:c>
      <x:c r="I40" s="3" t="str">
        <x:v>§3.3；数据来自two-mode Galerkin model；Supplementary Section S5.1。 本轮定位：S03/S04，sections/unified_experiments.tex（固定commit）。</x:v>
      </x:c>
      <x:c r="J40" s="3" t="str">
        <x:v>初态分布、采样时刻、原始轨迹与S5.1。</x:v>
      </x:c>
      <x:c r="K40" s="3" t="str"/>
    </x:row>
    <x:row r="41" ht="70" customHeight="1">
      <x:c r="A41" s="3" t="str">
        <x:v>N035</x:v>
      </x:c>
      <x:c r="B41" s="3" t="str">
        <x:v>p7 / 3.3</x:v>
      </x:c>
      <x:c r="C41" s="3" t="str">
        <x:v>训练状态噪声</x:v>
      </x:c>
      <x:c r="D41" s="3" t="str">
        <x:v>状态noiseless（零状态噪声）</x:v>
      </x:c>
      <x:c r="E41" s="3" t="str">
        <x:v>—</x:v>
      </x:c>
      <x:c r="F41" s="3" t="str">
        <x:v>作者选择</x:v>
      </x:c>
      <x:c r="G41" s="3" t="str">
        <x:v>作者设定；可追溯至原稿/补充协议，非外部实测值</x:v>
      </x:c>
      <x:c r="H41" s="3" t="str">
        <x:v>后面的1e-6噪声只加在向量场分量，不是状态观测。</x:v>
      </x:c>
      <x:c r="I41" s="3" t="str">
        <x:v>§3.3；Supplementary Section S5.1。 本轮定位：S03/S04，sections/unified_experiments.tex（固定commit）。</x:v>
      </x:c>
      <x:c r="J41" s="3" t="str">
        <x:v>明确噪声加在哪个量、时间单位和归一化；此为合成观测情景，不是传感器型号/精度证据。</x:v>
      </x:c>
      <x:c r="K41" s="3" t="str"/>
    </x:row>
    <x:row r="42" ht="70" customHeight="1">
      <x:c r="A42" s="3" t="str">
        <x:v>N036</x:v>
      </x:c>
      <x:c r="B42" s="3" t="str">
        <x:v>p7 / 3.3</x:v>
      </x:c>
      <x:c r="C42" s="3" t="str">
        <x:v>向量场标签加噪区间</x:v>
      </x:c>
      <x:c r="D42" s="3" t="str">
        <x:v>每分量均匀噪声[-10^-6,10^-6]</x:v>
      </x:c>
      <x:c r="E42" s="3" t="str">
        <x:v>无量纲向量场分量</x:v>
      </x:c>
      <x:c r="F42" s="3" t="str">
        <x:v>作者选择</x:v>
      </x:c>
      <x:c r="G42" s="3" t="str">
        <x:v>作者设定；可追溯至原稿/补充协议，非外部实测值</x:v>
      </x:c>
      <x:c r="H42" s="3" t="str">
        <x:v>四分量的单样本欧氏噪声上界为2e-6；正文应保留向量RMS与标量RMS区别。式(21)已自洽。</x:v>
      </x:c>
      <x:c r="I42" s="3" t="str">
        <x:v>§3.3；Supplementary Section S5.1。 本轮定位：S03/S04，sections/unified_experiments.tex（固定commit）。</x:v>
      </x:c>
      <x:c r="J42" s="3" t="str">
        <x:v>明确噪声加在哪个量、时间单位和归一化；此为合成观测情景，不是传感器型号/精度证据。</x:v>
      </x:c>
      <x:c r="K42" s="3" t="str"/>
    </x:row>
    <x:row r="43" ht="70" customHeight="1">
      <x:c r="A43" s="3" t="str">
        <x:v>N037</x:v>
      </x:c>
      <x:c r="B43" s="3" t="str">
        <x:v>p7 / 3.3</x:v>
      </x:c>
      <x:c r="C43" s="3" t="str">
        <x:v>测试集轨迹设计</x:v>
      </x:c>
      <x:c r="D43" s="3" t="str">
        <x:v>8条独立初始化轨迹；每条16 s；整条held-out</x:v>
      </x:c>
      <x:c r="E43" s="3" t="str">
        <x:v>条、s</x:v>
      </x:c>
      <x:c r="F43" s="3" t="str">
        <x:v>作者选择</x:v>
      </x:c>
      <x:c r="G43" s="3" t="str">
        <x:v>作者设定；可追溯至原稿/补充协议，非外部实测值</x:v>
      </x:c>
      <x:c r="H43" s="3" t="str">
        <x:v>与每seed训练4s不同，构成更长时预测；是否真正独立需数据分割脚本。</x:v>
      </x:c>
      <x:c r="I43" s="3" t="str">
        <x:v>§3.3；Supplementary Section S5.1；Table3相同八条轨迹。 本轮定位：S03/S04，sections/unified_experiments.tex（固定commit）。</x:v>
      </x:c>
      <x:c r="J43" s="3" t="str">
        <x:v>初态采样、训练测试划分和轨迹。</x:v>
      </x:c>
      <x:c r="K43" s="3" t="str"/>
    </x:row>
    <x:row r="44" ht="70" customHeight="1">
      <x:c r="A44" s="3" t="str">
        <x:v>N038</x:v>
      </x:c>
      <x:c r="B44" s="3" t="str">
        <x:v>p7 / 3.3</x:v>
      </x:c>
      <x:c r="C44" s="3" t="str">
        <x:v>正则化系数、初始状态分布及标签/积分具体容差</x:v>
      </x:c>
      <x:c r="D44" s="3" t="str">
        <x:v>正文未赋数</x:v>
      </x:c>
      <x:c r="E44" s="3" t="str">
        <x:v>依各设置而定</x:v>
      </x:c>
      <x:c r="F44" s="12" t="str">
        <x:v>缺失基础参数</x:v>
      </x:c>
      <x:c r="G44" s="12" t="str">
        <x:v>核心数值已补；原始拟合配置尚未核</x:v>
      </x:c>
      <x:c r="H44" s="3" t="str">
        <x:v>已找到正则1e-14、模态半径U[.03,.20]/U[.03,.16]与独立均匀相位、导数标签独立U[-1e-6,1e-6]；保守参考DOP853为rtol2e-10/atol2e-12。均为本试验作者数值方案。</x:v>
      </x:c>
      <x:c r="I44" s="3" t="str">
        <x:v>S04固定commit：sections/unified_experiments.tex S5.1</x:v>
      </x:c>
      <x:c r="J44" s="3" t="str">
        <x:v>独立测试集随机种子的具体整数；实际保存的129/1601个时间点数组；正则项及MSE归一化在代码中的完整表达式</x:v>
      </x:c>
      <x:c r="K44" s="3" t="str">
        <x:v>S04</x:v>
      </x:c>
    </x:row>
    <x:row r="45" ht="100" customHeight="1">
      <x:c r="A45" s="3" t="str">
        <x:v>N039</x:v>
      </x:c>
      <x:c r="B45" s="3" t="str">
        <x:v>p7 / Table 3; 3.3</x:v>
      </x:c>
      <x:c r="C45" s="3" t="str">
        <x:v>配对tip RMSE差：R−GR先验效应</x:v>
      </x:c>
      <x:c r="D45" s="3" t="str">
        <x:v>(1.08 ± 1.44)×10^-5</x:v>
      </x:c>
      <x:c r="E45" s="3" t="str">
        <x:v>mm；±为sample SD</x:v>
      </x:c>
      <x:c r="F45" s="3" t="str">
        <x:v>拟合输出</x:v>
      </x:c>
      <x:c r="G45" s="3" t="str">
        <x:v>原基准计算输出；已定位补充说明，本轮未逐项重跑</x:v>
      </x:c>
      <x:c r="H45" s="3" t="str">
        <x:v>正值支持固定物理二次先验；由显示组均值差1.08e-5 mm一致。</x:v>
      </x:c>
      <x:c r="I45" s="3" t="str">
        <x:v>Table 3；相同8条held-out轨迹、3个paired training seeds；拟合设置S5.1，相关误差详表见Supplementary Table S4。 本轮定位：S03/S04，sections/unified_experiments.tex（固定commit）。</x:v>
      </x:c>
      <x:c r="J45" s="3" t="str">
        <x:v>采用新物理基准时须重生成轨迹、训练与对应输出；不能以文献引用替代运行。</x:v>
      </x:c>
      <x:c r="K45" s="3" t="str"/>
    </x:row>
    <x:row r="46" ht="100" customHeight="1">
      <x:c r="A46" s="3" t="str">
        <x:v>N040</x:v>
      </x:c>
      <x:c r="B46" s="3" t="str">
        <x:v>p7 / Table 3; 3.3</x:v>
      </x:c>
      <x:c r="C46" s="3" t="str">
        <x:v>配对tip RMSE差：C−GC先验效应</x:v>
      </x:c>
      <x:c r="D46" s="3" t="str">
        <x:v>(1.08 ± 1.44)×10^-5</x:v>
      </x:c>
      <x:c r="E46" s="3" t="str">
        <x:v>mm；±为sample SD</x:v>
      </x:c>
      <x:c r="F46" s="3" t="str">
        <x:v>拟合输出</x:v>
      </x:c>
      <x:c r="G46" s="3" t="str">
        <x:v>原基准计算输出；已定位补充说明，本轮未逐项重跑</x:v>
      </x:c>
      <x:c r="H46" s="3" t="str">
        <x:v>与实数特征先验效应相同，符合两实现相同函数类。</x:v>
      </x:c>
      <x:c r="I46" s="3" t="str">
        <x:v>Table 3；相同8条held-out轨迹、3个paired training seeds；拟合设置S5.1，相关误差详表见Supplementary Table S4。 本轮定位：S03/S04，sections/unified_experiments.tex（固定commit）。</x:v>
      </x:c>
      <x:c r="J46" s="3" t="str">
        <x:v>采用新物理基准时须重生成轨迹、训练与对应输出；不能以文献引用替代运行。</x:v>
      </x:c>
      <x:c r="K46" s="3" t="str"/>
    </x:row>
    <x:row r="47" ht="100" customHeight="1">
      <x:c r="A47" s="3" t="str">
        <x:v>N041</x:v>
      </x:c>
      <x:c r="B47" s="3" t="str">
        <x:v>p7 / Table 3; 3.3</x:v>
      </x:c>
      <x:c r="C47" s="3" t="str">
        <x:v>配对tip RMSE差：R−C表示效应</x:v>
      </x:c>
      <x:c r="D47" s="3" t="str">
        <x:v>(-4.24 ± 4.84)×10^-13</x:v>
      </x:c>
      <x:c r="E47" s="3" t="str">
        <x:v>mm；±为sample SD</x:v>
      </x:c>
      <x:c r="F47" s="3" t="str">
        <x:v>拟合输出</x:v>
      </x:c>
      <x:c r="G47" s="3" t="str">
        <x:v>原基准计算输出；已定位补充说明，本轮未逐项重跑</x:v>
      </x:c>
      <x:c r="H47" s="3" t="str">
        <x:v>均值绝对值远小于1.92e-8 mm参考解加严变化，不能解释为可分辨的表示优势。</x:v>
      </x:c>
      <x:c r="I47" s="3" t="str">
        <x:v>Table 3；相同8条held-out轨迹、3个paired training seeds；拟合设置S5.1，相关误差详表见Supplementary Table S4。 本轮定位：S03/S04，sections/unified_experiments.tex（固定commit）。</x:v>
      </x:c>
      <x:c r="J47" s="3" t="str">
        <x:v>采用新物理基准时须重生成轨迹、训练与对应输出；不能以文献引用替代运行。</x:v>
      </x:c>
      <x:c r="K47" s="3" t="str"/>
    </x:row>
    <x:row r="48" ht="100" customHeight="1">
      <x:c r="A48" s="3" t="str">
        <x:v>N042</x:v>
      </x:c>
      <x:c r="B48" s="3" t="str">
        <x:v>p7 / Table 3; 3.3</x:v>
      </x:c>
      <x:c r="C48" s="3" t="str">
        <x:v>配对tip RMSE差：GR−GC表示效应</x:v>
      </x:c>
      <x:c r="D48" s="3" t="str">
        <x:v>(0.75 ± 1.99)×10^-15</x:v>
      </x:c>
      <x:c r="E48" s="3" t="str">
        <x:v>mm；±为sample SD</x:v>
      </x:c>
      <x:c r="F48" s="3" t="str">
        <x:v>拟合输出</x:v>
      </x:c>
      <x:c r="G48" s="3" t="str">
        <x:v>原基准计算输出；已定位补充说明，本轮未逐项重跑</x:v>
      </x:c>
      <x:c r="H48" s="3" t="str">
        <x:v>同样远低于参考解精度诊断。</x:v>
      </x:c>
      <x:c r="I48" s="3" t="str">
        <x:v>Table 3；相同8条held-out轨迹、3个paired training seeds；拟合设置S5.1，相关误差详表见Supplementary Table S4。 本轮定位：S03/S04，sections/unified_experiments.tex（固定commit）。</x:v>
      </x:c>
      <x:c r="J48" s="3" t="str">
        <x:v>采用新物理基准时须重生成轨迹、训练与对应输出；不能以文献引用替代运行。</x:v>
      </x:c>
      <x:c r="K48" s="3" t="str"/>
    </x:row>
    <x:row r="49" ht="100" customHeight="1">
      <x:c r="A49" s="3" t="str">
        <x:v>N043</x:v>
      </x:c>
      <x:c r="B49" s="3" t="str">
        <x:v>p7 / Table 3; 3.3</x:v>
      </x:c>
      <x:c r="C49" s="3" t="str">
        <x:v>配对tip RMSE差：(GR−GC)−(R−C)交互效应</x:v>
      </x:c>
      <x:c r="D49" s="3" t="str">
        <x:v>(4.25 ± 4.82)×10^-13</x:v>
      </x:c>
      <x:c r="E49" s="3" t="str">
        <x:v>mm；±为sample SD</x:v>
      </x:c>
      <x:c r="F49" s="3" t="str">
        <x:v>拟合输出</x:v>
      </x:c>
      <x:c r="G49" s="3" t="str">
        <x:v>原基准计算输出；已定位补充说明，本轮未逐项重跑</x:v>
      </x:c>
      <x:c r="H49" s="3" t="str">
        <x:v>显示均值0.75e-15−(-4.24e-13)=4.2475e-13，与4.25e-13舍入一致；SD不能由边际SD简单相减。</x:v>
      </x:c>
      <x:c r="I49" s="3" t="str">
        <x:v>Table 3；相同8条held-out轨迹、3个paired training seeds；拟合设置S5.1，相关误差详表见Supplementary Table S4。 本轮定位：S03/S04，sections/unified_experiments.tex（固定commit）。</x:v>
      </x:c>
      <x:c r="J49" s="3" t="str">
        <x:v>采用新物理基准时须重生成轨迹、训练与对应输出；不能以文献引用替代运行。</x:v>
      </x:c>
      <x:c r="K49" s="3" t="str"/>
    </x:row>
    <x:row r="50" ht="85" customHeight="1">
      <x:c r="A50" s="3" t="str">
        <x:v>N044</x:v>
      </x:c>
      <x:c r="B50" s="3" t="str">
        <x:v>p7 / 3.3</x:v>
      </x:c>
      <x:c r="C50" s="3" t="str">
        <x:v>BR/BC平均tip RMSE</x:v>
      </x:c>
      <x:c r="D50" s="3" t="str">
        <x:v>2.28×10^-5</x:v>
      </x:c>
      <x:c r="E50" s="3" t="str">
        <x:v>mm</x:v>
      </x:c>
      <x:c r="F50" s="3" t="str">
        <x:v>拟合输出</x:v>
      </x:c>
      <x:c r="G50" s="3" t="str">
        <x:v>原基准计算输出；已定位补充说明，本轮未逐项重跑</x:v>
      </x:c>
      <x:c r="H50" s="3" t="str">
        <x:v>约0.0228 µm；与GR/GC差为1.08e-5 mm，与Table3一致。</x:v>
      </x:c>
      <x:c r="I50" s="3" t="str">
        <x:v>§3.3；相关slope/physical target-energy/tip errors见Supplementary Table S4；设置S5.1。 本轮定位：S03/S04，sections/unified_experiments.tex（固定commit）。</x:v>
      </x:c>
      <x:c r="J50" s="3" t="str">
        <x:v>采用新物理基准时须重生成轨迹、训练与对应输出；不能以文献引用替代运行。</x:v>
      </x:c>
      <x:c r="K50" s="3" t="str"/>
    </x:row>
    <x:row r="51" ht="70" customHeight="1">
      <x:c r="A51" s="3" t="str">
        <x:v>N045</x:v>
      </x:c>
      <x:c r="B51" s="3" t="str">
        <x:v>p7 / 3.3</x:v>
      </x:c>
      <x:c r="C51" s="3" t="str">
        <x:v>GR/GC平均tip RMSE</x:v>
      </x:c>
      <x:c r="D51" s="3" t="str">
        <x:v>1.20×10^-5</x:v>
      </x:c>
      <x:c r="E51" s="3" t="str">
        <x:v>mm</x:v>
      </x:c>
      <x:c r="F51" s="3" t="str">
        <x:v>拟合输出</x:v>
      </x:c>
      <x:c r="G51" s="3" t="str">
        <x:v>原基准计算输出；已定位补充说明，本轮未逐项重跑</x:v>
      </x:c>
      <x:c r="H51" s="3" t="str">
        <x:v>约0.0120 µm；这些极小值并不是full-FE reduction误差。</x:v>
      </x:c>
      <x:c r="I51" s="3" t="str">
        <x:v>§3.3；Supplementary Table S4与S5.1。 本轮定位：S03/S04，sections/unified_experiments.tex（固定commit）。</x:v>
      </x:c>
      <x:c r="J51" s="3" t="str">
        <x:v>采用新物理基准时须重生成轨迹、训练与对应输出；不能以文献引用替代运行。</x:v>
      </x:c>
      <x:c r="K51" s="3" t="str"/>
    </x:row>
    <x:row r="52" ht="70" customHeight="1">
      <x:c r="A52" s="3" t="str">
        <x:v>N046</x:v>
      </x:c>
      <x:c r="B52" s="3" t="str">
        <x:v>p7 / 3.3</x:v>
      </x:c>
      <x:c r="C52" s="3" t="str">
        <x:v>物理先验改善/恶化的seed计数</x:v>
      </x:c>
      <x:c r="D52" s="3" t="str">
        <x:v>2个改善、1个恶化</x:v>
      </x:c>
      <x:c r="E52" s="3" t="str">
        <x:v>个seed</x:v>
      </x:c>
      <x:c r="F52" s="3" t="str">
        <x:v>拟合输出</x:v>
      </x:c>
      <x:c r="G52" s="3" t="str">
        <x:v>原基准计算输出；已定位补充说明，本轮未逐项重跑</x:v>
      </x:c>
      <x:c r="H52" s="3" t="str">
        <x:v>不能仅以组均值宣布每次训练先验均有益，正文未作此错误结论。</x:v>
      </x:c>
      <x:c r="I52" s="3" t="str">
        <x:v>§3.3，三seed配对比较；S5.1及相关Table S4。 本轮定位：S03/S04，sections/unified_experiments.tex（固定commit）。</x:v>
      </x:c>
      <x:c r="J52" s="3" t="str">
        <x:v>采用新物理基准时须重生成轨迹、训练与对应输出；不能以文献引用替代运行。</x:v>
      </x:c>
      <x:c r="K52" s="3" t="str"/>
    </x:row>
    <x:row r="53" ht="70" customHeight="1">
      <x:c r="A53" s="3" t="str">
        <x:v>N047</x:v>
      </x:c>
      <x:c r="B53" s="3" t="str">
        <x:v>p7 / 3.3</x:v>
      </x:c>
      <x:c r="C53" s="3" t="str">
        <x:v>参考求解器容差加严引起的tip变化</x:v>
      </x:c>
      <x:c r="D53" s="3" t="str">
        <x:v>1.92×10^-8</x:v>
      </x:c>
      <x:c r="E53" s="3" t="str">
        <x:v>mm</x:v>
      </x:c>
      <x:c r="F53" s="3" t="str">
        <x:v>仿真输出</x:v>
      </x:c>
      <x:c r="G53" s="3" t="str">
        <x:v>原基准计算输出；已定位补充说明，本轮未逐项重跑</x:v>
      </x:c>
      <x:c r="H53" s="3" t="str">
        <x:v>相当于0.0192 nm；Table3表示效应远小于该量级。</x:v>
      </x:c>
      <x:c r="I53" s="3" t="str">
        <x:v>§3.3；solver tolerances见Supplementary Section S5.1。 本轮定位：S03/S04，sections/unified_experiments.tex（固定commit）。</x:v>
      </x:c>
      <x:c r="J53" s="3" t="str">
        <x:v>采用新物理基准时须重生成轨迹、训练与对应输出；不能以文献引用替代运行。</x:v>
      </x:c>
      <x:c r="K53" s="3" t="str"/>
    </x:row>
    <x:row r="54" ht="85" customHeight="1">
      <x:c r="A54" s="3" t="str">
        <x:v>N048</x:v>
      </x:c>
      <x:c r="B54" s="3" t="str">
        <x:v>p7 / 3.3</x:v>
      </x:c>
      <x:c r="C54" s="3" t="str">
        <x:v>GC完整磁能系数a估计</x:v>
      </x:c>
      <x:c r="D54" s="3" t="str">
        <x:v>1.00326 ± 0.00154</x:v>
      </x:c>
      <x:c r="E54" s="3" t="str">
        <x:v>无量纲</x:v>
      </x:c>
      <x:c r="F54" s="3" t="str">
        <x:v>拟合输出</x:v>
      </x:c>
      <x:c r="G54" s="3" t="str">
        <x:v>原基准计算输出；已定位补充说明，本轮未逐项重跑</x:v>
      </x:c>
      <x:c r="H54" s="3" t="str">
        <x:v>目标a=1由feature class定义，偏差可以解释为标签噪声/正则化误差；需原始系数确认±采用何种统计。</x:v>
      </x:c>
      <x:c r="I54" s="3" t="str">
        <x:v>§3.3；3个training seeds；拟合设置S5.1；相邻误差细项指向Table S4。 本轮定位：S03/S04，sections/unified_experiments.tex（固定commit）。</x:v>
      </x:c>
      <x:c r="J54" s="3" t="str">
        <x:v>采用新物理基准时须重生成轨迹、训练与对应输出；不能以文献引用替代运行。</x:v>
      </x:c>
      <x:c r="K54" s="3" t="str"/>
    </x:row>
    <x:row r="55" ht="70" customHeight="1">
      <x:c r="A55" s="3" t="str">
        <x:v>N049</x:v>
      </x:c>
      <x:c r="B55" s="3" t="str">
        <x:v>p7 / 3.3</x:v>
      </x:c>
      <x:c r="C55" s="3" t="str">
        <x:v>独立长期预测时长及第一模态周期数</x:v>
      </x:c>
      <x:c r="D55" s="3" t="str">
        <x:v>200 s；约363个first-mode periods</x:v>
      </x:c>
      <x:c r="E55" s="3" t="str">
        <x:v>s、周期</x:v>
      </x:c>
      <x:c r="F55" s="3" t="str">
        <x:v>作者选择</x:v>
      </x:c>
      <x:c r="G55" s="3" t="str">
        <x:v>作者设定；可追溯至原稿/补充协议，非外部实测值</x:v>
      </x:c>
      <x:c r="H55" s="3" t="str">
        <x:v>200×11.417287283/(2π)=363.4235416，按整周期概述为363正确。</x:v>
      </x:c>
      <x:c r="I55" s="3" t="str">
        <x:v>§3.3；supplementary Figure S3；使用DOP853而非Central4。 本轮定位：S03/S04，sections/unified_experiments.tex（固定commit）。</x:v>
      </x:c>
      <x:c r="J55" s="3" t="str">
        <x:v>Figure S3原数据、200s模拟配置。</x:v>
      </x:c>
      <x:c r="K55" s="3" t="str"/>
    </x:row>
    <x:row r="56" ht="70" customHeight="1">
      <x:c r="A56" s="3" t="str">
        <x:v>N050</x:v>
      </x:c>
      <x:c r="B56" s="3" t="str">
        <x:v>p7 / 3.3</x:v>
      </x:c>
      <x:c r="C56" s="3" t="str">
        <x:v>200s GC tip RMSE范围</x:v>
      </x:c>
      <x:c r="D56" s="3" t="str">
        <x:v>1.38×10^-4–4.03×10^-4</x:v>
      </x:c>
      <x:c r="E56" s="3" t="str">
        <x:v>mm</x:v>
      </x:c>
      <x:c r="F56" s="3" t="str">
        <x:v>仿真输出</x:v>
      </x:c>
      <x:c r="G56" s="3" t="str">
        <x:v>原基准计算输出；已定位补充说明，本轮未逐项重跑</x:v>
      </x:c>
      <x:c r="H56" s="3" t="str">
        <x:v>不能作为无限时KAM证明，正文已将两者区分。</x:v>
      </x:c>
      <x:c r="I56" s="3" t="str">
        <x:v>§3.3；supplementary Figure S3；DOP853长期预测。 本轮定位：S03/S04，sections/unified_experiments.tex（固定commit）。</x:v>
      </x:c>
      <x:c r="J56" s="3" t="str">
        <x:v>采用新物理基准时须重生成轨迹、训练与对应输出；不能以文献引用替代运行。</x:v>
      </x:c>
      <x:c r="K56" s="3" t="str"/>
    </x:row>
    <x:row r="57" ht="70" customHeight="1">
      <x:c r="A57" s="3" t="str">
        <x:v>N051</x:v>
      </x:c>
      <x:c r="B57" s="3" t="str">
        <x:v>p7 / 3.3</x:v>
      </x:c>
      <x:c r="C57" s="3" t="str">
        <x:v>长期预测最大模态相位误差</x:v>
      </x:c>
      <x:c r="D57" s="3" t="str">
        <x:v>4.19×10^-4</x:v>
      </x:c>
      <x:c r="E57" s="3" t="str">
        <x:v>rad</x:v>
      </x:c>
      <x:c r="F57" s="3" t="str">
        <x:v>仿真输出</x:v>
      </x:c>
      <x:c r="G57" s="3" t="str">
        <x:v>原基准计算输出；已定位补充说明，本轮未逐项重跑</x:v>
      </x:c>
      <x:c r="H57" s="3" t="str">
        <x:v>需区分模态相位提取、unwrap以及幅度接近零的处理。</x:v>
      </x:c>
      <x:c r="I57" s="3" t="str">
        <x:v>§3.3；supplementary Figure S3。 本轮定位：S03/S04，sections/unified_experiments.tex（固定commit）。</x:v>
      </x:c>
      <x:c r="J57" s="3" t="str">
        <x:v>采用新物理基准时须重生成轨迹、训练与对应输出；不能以文献引用替代运行。</x:v>
      </x:c>
      <x:c r="K57" s="3" t="str"/>
    </x:row>
    <x:row r="58" ht="70" customHeight="1">
      <x:c r="A58" s="3" t="str">
        <x:v>N052</x:v>
      </x:c>
      <x:c r="B58" s="3" t="str">
        <x:v>p7 / 3.3</x:v>
      </x:c>
      <x:c r="C58" s="3" t="str">
        <x:v>长期预测own-energy相对漂移</x:v>
      </x:c>
      <x:c r="D58" s="3" t="str">
        <x:v>&lt;5.11×10^-9</x:v>
      </x:c>
      <x:c r="E58" s="3" t="str">
        <x:v>无量纲相对值</x:v>
      </x:c>
      <x:c r="F58" s="3" t="str">
        <x:v>仿真输出</x:v>
      </x:c>
      <x:c r="G58" s="3" t="str">
        <x:v>原基准计算输出；已定位补充说明，本轮未逐项重跑</x:v>
      </x:c>
      <x:c r="H58" s="3" t="str">
        <x:v>own-energy指各拟合模型自身hη；不能误解成相对真实目标能量或DOP853辛性。</x:v>
      </x:c>
      <x:c r="I58" s="3" t="str">
        <x:v>§3.3；supplementary Figure S3；DOP853。 本轮定位：S03/S04，sections/unified_experiments.tex（固定commit）。</x:v>
      </x:c>
      <x:c r="J58" s="3" t="str">
        <x:v>采用新物理基准时须重生成轨迹、训练与对应输出；不能以文献引用替代运行。</x:v>
      </x:c>
      <x:c r="K58" s="3" t="str"/>
    </x:row>
    <x:row r="59" ht="100" customHeight="1">
      <x:c r="A59" s="3" t="str">
        <x:v>N053</x:v>
      </x:c>
      <x:c r="B59" s="3" t="str">
        <x:v>p7 / 3.4 第一段</x:v>
      </x:c>
      <x:c r="C59" s="3" t="str">
        <x:v>耗散辨识的held-out受迫测试数量</x:v>
      </x:c>
      <x:c r="D59" s="3" t="str">
        <x:v>6条</x:v>
      </x:c>
      <x:c r="E59" s="3" t="str">
        <x:v>条</x:v>
      </x:c>
      <x:c r="F59" s="3" t="str">
        <x:v>作者选择</x:v>
      </x:c>
      <x:c r="G59" s="3" t="str">
        <x:v>作者设定；可追溯至原稿/补充协议，非外部实测值</x:v>
      </x:c>
      <x:c r="H59" s="3" t="str">
        <x:v>非硬件驱动实验；训练无外力、测试受迫的设计应由轨迹档案核对。</x:v>
      </x:c>
      <x:c r="I59" s="3" t="str">
        <x:v>§3.4第一段：Rayleigh系数由unforced trajectories拟合，再测试held-out forced trajectories；该段没有单独补充小节号。 本轮定位：S03/S04，sections/unified_experiments.tex（固定commit）。</x:v>
      </x:c>
      <x:c r="J59" s="3" t="str">
        <x:v>耗散拟合与6条forced测试的原始配置、复现目录和脚本。</x:v>
      </x:c>
      <x:c r="K59" s="3" t="str"/>
    </x:row>
    <x:row r="60" ht="70" customHeight="1">
      <x:c r="A60" s="3" t="str">
        <x:v>N054</x:v>
      </x:c>
      <x:c r="B60" s="3" t="str">
        <x:v>p7 / 3.4 第一段</x:v>
      </x:c>
      <x:c r="C60" s="3" t="str">
        <x:v>包含辨识耗散时的tip RMSE范围</x:v>
      </x:c>
      <x:c r="D60" s="3" t="str">
        <x:v>6.40×10^-5–1.37×10^-4</x:v>
      </x:c>
      <x:c r="E60" s="3" t="str">
        <x:v>mm</x:v>
      </x:c>
      <x:c r="F60" s="3" t="str">
        <x:v>拟合输出</x:v>
      </x:c>
      <x:c r="G60" s="3" t="str">
        <x:v>原基准计算输出；已定位补充说明，本轮未逐项重跑</x:v>
      </x:c>
      <x:c r="H60" s="3" t="str">
        <x:v>需拟合的Rayleigh系数、forced inputs和测试轨迹才能重现。</x:v>
      </x:c>
      <x:c r="I60" s="3" t="str">
        <x:v>§3.4第一段；正文未在该段指定单独Supplement subsection。 本轮定位：S03/S04，sections/unified_experiments.tex（固定commit）。</x:v>
      </x:c>
      <x:c r="J60" s="3" t="str">
        <x:v>采用新物理基准时须重生成轨迹、训练与对应输出；不能以文献引用替代运行。</x:v>
      </x:c>
      <x:c r="K60" s="3" t="str"/>
    </x:row>
    <x:row r="61" ht="70" customHeight="1">
      <x:c r="A61" s="3" t="str">
        <x:v>N055</x:v>
      </x:c>
      <x:c r="B61" s="3" t="str">
        <x:v>p7 / 3.4 第一段</x:v>
      </x:c>
      <x:c r="C61" s="3" t="str">
        <x:v>省略耗散时的tip RMSE</x:v>
      </x:c>
      <x:c r="D61" s="3" t="str">
        <x:v>≈3.01</x:v>
      </x:c>
      <x:c r="E61" s="3" t="str">
        <x:v>mm</x:v>
      </x:c>
      <x:c r="F61" s="3" t="str">
        <x:v>仿真输出</x:v>
      </x:c>
      <x:c r="G61" s="3" t="str">
        <x:v>原基准计算输出；已定位补充说明，本轮未逐项重跑</x:v>
      </x:c>
      <x:c r="H61" s="3" t="str">
        <x:v>应确认与含耗散模型使用同一组6条轨迹和相同评估窗口。</x:v>
      </x:c>
      <x:c r="I61" s="3" t="str">
        <x:v>§3.4第一段；该段未给单独Supplement subsection。 本轮定位：S03/S04，sections/unified_experiments.tex（固定commit）。</x:v>
      </x:c>
      <x:c r="J61" s="3" t="str">
        <x:v>采用新物理基准时须重生成轨迹、训练与对应输出；不能以文献引用替代运行。</x:v>
      </x:c>
      <x:c r="K61" s="3" t="str"/>
    </x:row>
    <x:row r="62" ht="70" customHeight="1">
      <x:c r="A62" s="3" t="str">
        <x:v>N056</x:v>
      </x:c>
      <x:c r="B62" s="3" t="str">
        <x:v>p7 / 3.4 第一段</x:v>
      </x:c>
      <x:c r="C62" s="3" t="str">
        <x:v>含耗散的最大功-能平衡残差</x:v>
      </x:c>
      <x:c r="D62" s="3" t="str">
        <x:v>4.41×10^-17</x:v>
      </x:c>
      <x:c r="E62" s="3" t="str">
        <x:v>J</x:v>
      </x:c>
      <x:c r="F62" s="3" t="str">
        <x:v>仿真输出</x:v>
      </x:c>
      <x:c r="G62" s="3" t="str">
        <x:v>原基准计算输出；已定位补充说明，本轮未逐项重跑</x:v>
      </x:c>
      <x:c r="H62" s="3" t="str">
        <x:v>需确认功积分与能量差采用独立计算，及该值是绝对/最大时间残差。</x:v>
      </x:c>
      <x:c r="I62" s="3" t="str">
        <x:v>§3.4第一段；未在该段给单独Supplement subsection。 本轮定位：S03/S04，sections/unified_experiments.tex（固定commit）。</x:v>
      </x:c>
      <x:c r="J62" s="3" t="str">
        <x:v>采用新物理基准时须重生成轨迹、训练与对应输出；不能以文献引用替代运行。</x:v>
      </x:c>
      <x:c r="K62" s="3" t="str"/>
    </x:row>
    <x:row r="63" ht="85" customHeight="1">
      <x:c r="A63" s="3" t="str">
        <x:v>N057</x:v>
      </x:c>
      <x:c r="B63" s="3" t="str">
        <x:v>p7 / 3.4 第一段</x:v>
      </x:c>
      <x:c r="C63" s="3" t="str">
        <x:v>实际辨识出的Rayleigh系数γhat及耗散测试输入</x:v>
      </x:c>
      <x:c r="D63" s="3" t="str">
        <x:v>正文未给具体值/轨迹参数</x:v>
      </x:c>
      <x:c r="E63" s="3" t="str">
        <x:v>无量纲及T</x:v>
      </x:c>
      <x:c r="F63" s="12" t="str">
        <x:v>缺失基础参数</x:v>
      </x:c>
      <x:c r="G63" s="12" t="str">
        <x:v>辨识系数与试验范围已补；逐条输入和训练初态仍未核</x:v>
      </x:c>
      <x:c r="H63" s="3" t="str">
        <x:v>S5.3给出8条/seed、每条5s无外驱耗散训练，非负最小二乘，三项alpha_hat=.555585710/.555587102/.555584024 s^-1；GC17 gamma_hat=.0486617964。6条驱动测试4-8mT、r=.65-1.20；逐条时序仍需原始档案。</x:v>
      </x:c>
      <x:c r="I63" s="3" t="str">
        <x:v>S04固定commit：sections/unified_experiments.tex S5.3；sections/unified_safety.tex S7.4；sections/unified_experiments.tex S5.5末段</x:v>
      </x:c>
      <x:c r="J63" s="3" t="str">
        <x:v>各damped训练轨迹的初态、输出时刻和额外噪声具体随机实现；六条驱动试验各自的完整振幅、频率、相位、ramp、时长；除已交叉定位GC17外另外两项系数与seed的原始导出逐一映射</x:v>
      </x:c>
      <x:c r="K63" s="3" t="str">
        <x:v>S04</x:v>
      </x:c>
    </x:row>
    <x:row r="64" ht="85" customHeight="1">
      <x:c r="A64" s="3" t="str">
        <x:v>N058</x:v>
      </x:c>
      <x:c r="B64" s="3" t="str">
        <x:v>p7 / 3.4 第二段</x:v>
      </x:c>
      <x:c r="C64" s="3" t="str">
        <x:v>独立COMSOL驱动对比时长</x:v>
      </x:c>
      <x:c r="D64" s="3" t="str">
        <x:v>8</x:v>
      </x:c>
      <x:c r="E64" s="3" t="str">
        <x:v>s</x:v>
      </x:c>
      <x:c r="F64" s="3" t="str">
        <x:v>作者选择</x:v>
      </x:c>
      <x:c r="G64" s="3" t="str">
        <x:v>作者设定；可追溯至原稿/补充协议，非外部实测值</x:v>
      </x:c>
      <x:c r="H64" s="3" t="str">
        <x:v>COMSOL在此是数值计算来源；需与文内64模态模型分开说明独立性。</x:v>
      </x:c>
      <x:c r="I64" s="3" t="str">
        <x:v>§3.4；Supplementary Section S5.4给assembly与refinement checks。 本轮定位：S03/S04，sections/unified_experiments.tex（固定commit）。</x:v>
      </x:c>
      <x:c r="J64" s="3" t="str">
        <x:v>COMSOL模型、驱动时序、导出和S5.4。</x:v>
      </x:c>
      <x:c r="K64" s="3" t="str"/>
    </x:row>
    <x:row r="65" ht="70" customHeight="1">
      <x:c r="A65" s="3" t="str">
        <x:v>N059</x:v>
      </x:c>
      <x:c r="B65" s="3" t="str">
        <x:v>p7 / 3.4 第二段</x:v>
      </x:c>
      <x:c r="C65" s="3" t="str">
        <x:v>exact-cosine降阶比较模态数</x:v>
      </x:c>
      <x:c r="D65" s="3" t="str">
        <x:v>2,4,8；另有64模态完整对照</x:v>
      </x:c>
      <x:c r="E65" s="3" t="str">
        <x:v>个</x:v>
      </x:c>
      <x:c r="F65" s="3" t="str">
        <x:v>作者选择</x:v>
      </x:c>
      <x:c r="G65" s="3" t="str">
        <x:v>作者设定；可追溯至原稿/补充协议，非外部实测值</x:v>
      </x:c>
      <x:c r="H65" s="3" t="str">
        <x:v>模态递增误差下降是该驱动测试的数值结果，不自动给任意输入误差界。</x:v>
      </x:c>
      <x:c r="I65" s="3" t="str">
        <x:v>§3.4；Supplementary Section S5.4。 本轮定位：S03/S04，sections/unified_experiments.tex（固定commit）。</x:v>
      </x:c>
      <x:c r="J65" s="3" t="str">
        <x:v>不同截断模型、共享输入和初态、S5.4收敛记录。</x:v>
      </x:c>
      <x:c r="K65" s="3" t="str"/>
    </x:row>
    <x:row r="66" ht="70" customHeight="1">
      <x:c r="A66" s="3" t="str">
        <x:v>N060</x:v>
      </x:c>
      <x:c r="B66" s="3" t="str">
        <x:v>p7 / 3.4 第二段</x:v>
      </x:c>
      <x:c r="C66" s="3" t="str">
        <x:v>exact-cosine 2/4/8模态tip RMSE</x:v>
      </x:c>
      <x:c r="D66" s="3" t="str">
        <x:v>2模态0.0156168；4模态0.00407422；8模态0.00102484</x:v>
      </x:c>
      <x:c r="E66" s="3" t="str">
        <x:v>mm</x:v>
      </x:c>
      <x:c r="F66" s="3" t="str">
        <x:v>仿真输出</x:v>
      </x:c>
      <x:c r="G66" s="3" t="str">
        <x:v>原基准计算输出；已定位补充说明，本轮未逐项重跑</x:v>
      </x:c>
      <x:c r="H66" s="3" t="str">
        <x:v>分别15.6168、4.07422、1.02484 µm，量级远大于§3.3的in-class学习误差。</x:v>
      </x:c>
      <x:c r="I66" s="3" t="str">
        <x:v>§3.4；对照独立COMSOL；Supplementary Section S5.4。 本轮定位：S03/S04，sections/unified_experiments.tex（固定commit）。</x:v>
      </x:c>
      <x:c r="J66" s="3" t="str">
        <x:v>采用新物理基准时须重生成轨迹、训练与对应输出；不能以文献引用替代运行。</x:v>
      </x:c>
      <x:c r="K66" s="3" t="str"/>
    </x:row>
    <x:row r="67" ht="70" customHeight="1">
      <x:c r="A67" s="3" t="str">
        <x:v>N061</x:v>
      </x:c>
      <x:c r="B67" s="3" t="str">
        <x:v>p7 / 3.4 第二段</x:v>
      </x:c>
      <x:c r="C67" s="3" t="str">
        <x:v>64模态exact-cosine完整模型tip RMSE</x:v>
      </x:c>
      <x:c r="D67" s="3" t="str">
        <x:v>0.00005614</x:v>
      </x:c>
      <x:c r="E67" s="3" t="str">
        <x:v>mm</x:v>
      </x:c>
      <x:c r="F67" s="3" t="str">
        <x:v>仿真输出</x:v>
      </x:c>
      <x:c r="G67" s="3" t="str">
        <x:v>原基准计算输出；已定位补充说明，本轮未逐项重跑</x:v>
      </x:c>
      <x:c r="H67" s="3" t="str">
        <x:v>相当于0.05614 µm；不能视为实物模型误差认证。</x:v>
      </x:c>
      <x:c r="I67" s="3" t="str">
        <x:v>§3.4；独立COMSOL比较；Supplementary Section S5.4。 本轮定位：S03/S04，sections/unified_experiments.tex（固定commit）。</x:v>
      </x:c>
      <x:c r="J67" s="3" t="str">
        <x:v>采用新物理基准时须重生成轨迹、训练与对应输出；不能以文献引用替代运行。</x:v>
      </x:c>
      <x:c r="K67" s="3" t="str"/>
    </x:row>
    <x:row r="68" ht="70" customHeight="1">
      <x:c r="A68" s="3" t="str">
        <x:v>N062</x:v>
      </x:c>
      <x:c r="B68" s="3" t="str">
        <x:v>p7–8 / 3.4 第二段</x:v>
      </x:c>
      <x:c r="C68" s="3" t="str">
        <x:v>学习two-mode GC与独立COMSOL的tip RMSE范围</x:v>
      </x:c>
      <x:c r="D68" s="3" t="str">
        <x:v>0.0156171–0.0156177</x:v>
      </x:c>
      <x:c r="E68" s="3" t="str">
        <x:v>mm</x:v>
      </x:c>
      <x:c r="F68" s="3" t="str">
        <x:v>仿真输出</x:v>
      </x:c>
      <x:c r="G68" s="3" t="str">
        <x:v>原基准计算输出；已定位补充说明，本轮未逐项重跑</x:v>
      </x:c>
      <x:c r="H68" s="3" t="str">
        <x:v>与exact two-mode 0.0156168 mm接近，支持该测试中降阶误差主导；不支持全场景结论。</x:v>
      </x:c>
      <x:c r="I68" s="3" t="str">
        <x:v>§3.4跨页段落；Supplementary Section S5.4。 本轮定位：S03/S04，sections/unified_experiments.tex（固定commit）。</x:v>
      </x:c>
      <x:c r="J68" s="3" t="str">
        <x:v>采用新物理基准时须重生成轨迹、训练与对应输出；不能以文献引用替代运行。</x:v>
      </x:c>
      <x:c r="K68" s="3" t="str"/>
    </x:row>
    <x:row r="69" ht="70" customHeight="1">
      <x:c r="A69" s="3" t="str">
        <x:v>N063</x:v>
      </x:c>
      <x:c r="B69" s="3" t="str">
        <x:v>p8 / 3.4 第三段</x:v>
      </x:c>
      <x:c r="C69" s="3" t="str">
        <x:v>full-FE COMSOL位置-速度增量拟合的a</x:v>
      </x:c>
      <x:c r="D69" s="3" t="str">
        <x:v>1.0223248822</x:v>
      </x:c>
      <x:c r="E69" s="3" t="str">
        <x:v>无量纲</x:v>
      </x:c>
      <x:c r="F69" s="3" t="str">
        <x:v>拟合输出</x:v>
      </x:c>
      <x:c r="G69" s="3" t="str">
        <x:v>原基准计算输出；已定位补充说明，本轮未逐项重跑</x:v>
      </x:c>
      <x:c r="H69" s="3" t="str">
        <x:v>不能把该a或此模型性能移植到Table4/定理2，正文有明确分开。</x:v>
      </x:c>
      <x:c r="I69" s="3" t="str">
        <x:v>§3.4；Supplementary Section S5.5。 本轮定位：S03/S04，sections/unified_experiments.tex（固定commit）。</x:v>
      </x:c>
      <x:c r="J69" s="3" t="str">
        <x:v>采用新物理基准时须重生成轨迹、训练与对应输出；不能以文献引用替代运行。</x:v>
      </x:c>
      <x:c r="K69" s="3" t="str"/>
    </x:row>
    <x:row r="70" ht="70" customHeight="1">
      <x:c r="A70" s="3" t="str">
        <x:v>N064</x:v>
      </x:c>
      <x:c r="B70" s="3" t="str">
        <x:v>p8 / 3.4 第三段</x:v>
      </x:c>
      <x:c r="C70" s="3" t="str">
        <x:v>full-FE增量拟合模型的两个test tip errors</x:v>
      </x:c>
      <x:c r="D70" s="3" t="str">
        <x:v>0.14836；0.05140</x:v>
      </x:c>
      <x:c r="E70" s="3" t="str">
        <x:v>µm</x:v>
      </x:c>
      <x:c r="F70" s="3" t="str">
        <x:v>拟合输出</x:v>
      </x:c>
      <x:c r="G70" s="3" t="str">
        <x:v>原基准计算输出；已定位补充说明，本轮未逐项重跑</x:v>
      </x:c>
      <x:c r="H70" s="3" t="str">
        <x:v>该段称test errors，需S5.5核实是否tip RMSE及两测试具体工况；不应自行补成实测误差。</x:v>
      </x:c>
      <x:c r="I70" s="3" t="str">
        <x:v>§3.4；Supplementary Section S5.5。 本轮定位：S03/S04，sections/unified_experiments.tex（固定commit）。</x:v>
      </x:c>
      <x:c r="J70" s="3" t="str">
        <x:v>采用新物理基准时须重生成轨迹、训练与对应输出；不能以文献引用替代运行。</x:v>
      </x:c>
      <x:c r="K70" s="3" t="str"/>
    </x:row>
    <x:row r="71" ht="70" customHeight="1">
      <x:c r="A71" s="3" t="str">
        <x:v>N065</x:v>
      </x:c>
      <x:c r="B71" s="3" t="str">
        <x:v>p8 / 3.4 第三段</x:v>
      </x:c>
      <x:c r="C71" s="3" t="str">
        <x:v>上述两测试exact two-mode predictor errors</x:v>
      </x:c>
      <x:c r="D71" s="3" t="str">
        <x:v>0.24172；0.27459</x:v>
      </x:c>
      <x:c r="E71" s="3" t="str">
        <x:v>µm</x:v>
      </x:c>
      <x:c r="F71" s="3" t="str">
        <x:v>仿真输出</x:v>
      </x:c>
      <x:c r="G71" s="3" t="str">
        <x:v>原基准计算输出；已定位补充说明，本轮未逐项重跑</x:v>
      </x:c>
      <x:c r="H71" s="3" t="str">
        <x:v>应与前一行两个测试一一配对；该比较说明部分吸收降阶误差，不等于消除。</x:v>
      </x:c>
      <x:c r="I71" s="3" t="str">
        <x:v>§3.4；Supplementary Section S5.5。 本轮定位：S03/S04，sections/unified_experiments.tex（固定commit）。</x:v>
      </x:c>
      <x:c r="J71" s="3" t="str">
        <x:v>采用新物理基准时须重生成轨迹、训练与对应输出；不能以文献引用替代运行。</x:v>
      </x:c>
      <x:c r="K71" s="3" t="str"/>
    </x:row>
    <x:row r="72" ht="85" customHeight="1">
      <x:c r="A72" s="3" t="str">
        <x:v>N066</x:v>
      </x:c>
      <x:c r="B72" s="3" t="str">
        <x:v>p8 / 3.4 第四段</x:v>
      </x:c>
      <x:c r="C72" s="3" t="str">
        <x:v>未知参数/模型失配试验的软杆与正梯度物理参数</x:v>
      </x:c>
      <x:c r="D72" s="3" t="str">
        <x:v>soft rod、positive field gradient；具体E、梯度等未赋数</x:v>
      </x:c>
      <x:c r="E72" s="3" t="str">
        <x:v>Pa、T/m等</x:v>
      </x:c>
      <x:c r="F72" s="12" t="str">
        <x:v>缺失基础参数</x:v>
      </x:c>
      <x:c r="G72" s="12" t="str">
        <x:v>失配物理设定及遗漏特征已补；这是设计情景，不是新测量</x:v>
      </x:c>
      <x:c r="H72" s="3" t="str">
        <x:v>S5.7已明确soft/+G=(E/Eref,.mu/muref,alpha/alpharef,G,c2)=(.85,1.20,1.40,.5T/m,.02kg/m²)，并有stiff/-G=(1.20,.85,.70,-.4,.012)。旧Eref=5MPa给soft E=4.25MPa；这些是作者失配测试参数。</x:v>
      </x:c>
      <x:c r="I72" s="3" t="str">
        <x:v>S04固定commit：sections/robustness_and_adaptation.tex S5.7；sections/unified_model.tex S1参数表</x:v>
      </x:c>
      <x:c r="J72" s="3" t="str">
        <x:v>六条训练与三条测试的逐个初态；multisine频率、振幅、相位完整配置；此节Python求解器完整设置</x:v>
      </x:c>
      <x:c r="K72" s="3" t="str">
        <x:v>S04</x:v>
      </x:c>
    </x:row>
    <x:row r="73" ht="70" customHeight="1">
      <x:c r="A73" s="3" t="str">
        <x:v>N067</x:v>
      </x:c>
      <x:c r="B73" s="3" t="str">
        <x:v>p8 / 3.4 第四段</x:v>
      </x:c>
      <x:c r="C73" s="3" t="str">
        <x:v>失配试验未补齐物理特征的tip RMSE</x:v>
      </x:c>
      <x:c r="D73" s="3" t="str">
        <x:v>182.988</x:v>
      </x:c>
      <x:c r="E73" s="3" t="str">
        <x:v>µm</x:v>
      </x:c>
      <x:c r="F73" s="3" t="str">
        <x:v>仿真输出</x:v>
      </x:c>
      <x:c r="G73" s="3" t="str">
        <x:v>原基准计算输出；已定位补充说明，本轮未逐项重跑</x:v>
      </x:c>
      <x:c r="H73" s="3" t="str">
        <x:v>是特定失配条件的误差，不能解释为通用算法性能。</x:v>
      </x:c>
      <x:c r="I73" s="3" t="str">
        <x:v>§3.4；Supplementary Section S5.7。 本轮定位：S03/S04，sections/robustness_and_adaptation.tex（固定commit）。</x:v>
      </x:c>
      <x:c r="J73" s="3" t="str">
        <x:v>采用新物理基准时须重生成轨迹、训练与对应输出；不能以文献引用替代运行。</x:v>
      </x:c>
      <x:c r="K73" s="3" t="str"/>
    </x:row>
    <x:row r="74" ht="70" customHeight="1">
      <x:c r="A74" s="3" t="str">
        <x:v>N068</x:v>
      </x:c>
      <x:c r="B74" s="3" t="str">
        <x:v>p8 / 3.4 第四段</x:v>
      </x:c>
      <x:c r="C74" s="3" t="str">
        <x:v>补齐所省略物理特征后的tip RMSE</x:v>
      </x:c>
      <x:c r="D74" s="3" t="str">
        <x:v>9.829</x:v>
      </x:c>
      <x:c r="E74" s="3" t="str">
        <x:v>µm</x:v>
      </x:c>
      <x:c r="F74" s="3" t="str">
        <x:v>拟合输出</x:v>
      </x:c>
      <x:c r="G74" s="3" t="str">
        <x:v>原基准计算输出；已定位补充说明，本轮未逐项重跑</x:v>
      </x:c>
      <x:c r="H74" s="3" t="str">
        <x:v>需指明新增features与参数数目，确保对照使用相同数据和评价。</x:v>
      </x:c>
      <x:c r="I74" s="3" t="str">
        <x:v>§3.4；Supplementary Section S5.7。 本轮定位：S03/S04，sections/robustness_and_adaptation.tex（固定commit）。</x:v>
      </x:c>
      <x:c r="J74" s="3" t="str">
        <x:v>采用新物理基准时须重生成轨迹、训练与对应输出；不能以文献引用替代运行。</x:v>
      </x:c>
      <x:c r="K74" s="3" t="str"/>
    </x:row>
    <x:row r="75" ht="70" customHeight="1">
      <x:c r="A75" s="3" t="str">
        <x:v>N069</x:v>
      </x:c>
      <x:c r="B75" s="3" t="str">
        <x:v>p8 / 3.4 第四段</x:v>
      </x:c>
      <x:c r="C75" s="3" t="str">
        <x:v>自由拟合二次模型的tip RMSE</x:v>
      </x:c>
      <x:c r="D75" s="3" t="str">
        <x:v>7.258</x:v>
      </x:c>
      <x:c r="E75" s="3" t="str">
        <x:v>µm</x:v>
      </x:c>
      <x:c r="F75" s="3" t="str">
        <x:v>拟合输出</x:v>
      </x:c>
      <x:c r="G75" s="3" t="str">
        <x:v>原基准计算输出；已定位补充说明，本轮未逐项重跑</x:v>
      </x:c>
      <x:c r="H75" s="3" t="str">
        <x:v>数值小于9.829，正文据此承认物理先验可限制误差吸收，陈述一致。</x:v>
      </x:c>
      <x:c r="I75" s="3" t="str">
        <x:v>§3.4；Supplementary Section S5.7。 本轮定位：S03/S04，sections/robustness_and_adaptation.tex（固定commit）。</x:v>
      </x:c>
      <x:c r="J75" s="3" t="str">
        <x:v>采用新物理基准时须重生成轨迹、训练与对应输出；不能以文献引用替代运行。</x:v>
      </x:c>
      <x:c r="K75" s="3" t="str"/>
    </x:row>
    <x:row r="76" ht="85" customHeight="1">
      <x:c r="A76" s="3" t="str">
        <x:v>N070</x:v>
      </x:c>
      <x:c r="B76" s="3" t="str">
        <x:v>p8 / 3.4 第四段</x:v>
      </x:c>
      <x:c r="C76" s="3" t="str">
        <x:v>失配试验的状态噪声等级</x:v>
      </x:c>
      <x:c r="D76" s="3" t="str">
        <x:v>0.5%</x:v>
      </x:c>
      <x:c r="E76" s="3" t="str">
        <x:v>百分比</x:v>
      </x:c>
      <x:c r="F76" s="3" t="str">
        <x:v>作者选择</x:v>
      </x:c>
      <x:c r="G76" s="3" t="str">
        <x:v>噪声分布及归一化已补；floor实现顺序和种子未核</x:v>
      </x:c>
      <x:c r="H76" s="3" t="str">
        <x:v>S5.7明确0.1%/0.5%为每个模态位置/速度坐标训练标准差的独立高斯噪声，X/Y无量纲floor为1e-4/1e-5，3个独立训练噪声种子；未来参考标签无噪声。这是仿真噪声方案，不是传感器规格。</x:v>
      </x:c>
      <x:c r="I76" s="3" t="str">
        <x:v>S04固定commit：sections/robustness_and_adaptation.tex S5.7</x:v>
      </x:c>
      <x:c r="J76" s="3" t="str">
        <x:v>具体三个随机种子整数；floor作用于归一化标准差还是作用于已乘噪声率后的标准差，文字不足以确定精确max表达式，需核代码；独立性在时间/坐标维度的实现与原始样本</x:v>
      </x:c>
      <x:c r="K76" s="3" t="str">
        <x:v>S04</x:v>
      </x:c>
    </x:row>
    <x:row r="77" ht="85" customHeight="1">
      <x:c r="A77" s="3" t="str">
        <x:v>N071</x:v>
      </x:c>
      <x:c r="B77" s="3" t="str">
        <x:v>p8 / 3.4 第四段</x:v>
      </x:c>
      <x:c r="C77" s="3" t="str">
        <x:v>0.5%状态噪声下三模型tip RMSE</x:v>
      </x:c>
      <x:c r="D77" s="3" t="str">
        <x:v>原模型183.028；补物理特征9.757；自由二次7.216</x:v>
      </x:c>
      <x:c r="E77" s="3" t="str">
        <x:v>µm</x:v>
      </x:c>
      <x:c r="F77" s="3" t="str">
        <x:v>拟合输出</x:v>
      </x:c>
      <x:c r="G77" s="3" t="str">
        <x:v>原基准计算输出；已定位补充说明，本轮未逐项重跑</x:v>
      </x:c>
      <x:c r="H77" s="3" t="str">
        <x:v>顺序与上文182.988、9.829、7.258一致；一次/少数噪声实现的小幅下降不构成噪声有益的普遍结论，作者未作该结论。</x:v>
      </x:c>
      <x:c r="I77" s="3" t="str">
        <x:v>§3.4 “corresponding errors”；Supplementary Section S5.7。 本轮定位：S03/S04，sections/robustness_and_adaptation.tex（固定commit）。</x:v>
      </x:c>
      <x:c r="J77" s="3" t="str">
        <x:v>采用新物理基准时须重生成轨迹、训练与对应输出；不能以文献引用替代运行。</x:v>
      </x:c>
      <x:c r="K77" s="3" t="str"/>
    </x:row>
    <x:row r="78" ht="85" customHeight="1">
      <x:c r="A78" s="3" t="str">
        <x:v>N072</x:v>
      </x:c>
      <x:c r="B78" s="3" t="str">
        <x:v>p8 / 3.4 最后一段</x:v>
      </x:c>
      <x:c r="C78" s="3" t="str">
        <x:v>缓慢漂移full-FE的因果预测实验设计</x:v>
      </x:c>
      <x:c r="D78" s="3" t="str">
        <x:v>6次预测；每次1 s</x:v>
      </x:c>
      <x:c r="E78" s="3" t="str">
        <x:v>次、s</x:v>
      </x:c>
      <x:c r="F78" s="3" t="str">
        <x:v>作者选择</x:v>
      </x:c>
      <x:c r="G78" s="3" t="str">
        <x:v>作者设定；可追溯至原稿/补充协议，非外部实测值</x:v>
      </x:c>
      <x:c r="H78" s="3" t="str">
        <x:v>应核实只用过去状态进行adaptation，不能把每个forecast未来数据用于拟合。</x:v>
      </x:c>
      <x:c r="I78" s="3" t="str">
        <x:v>§3.4；该组unknown-parameter/model-mismatch tests统一指向Supplementary Section S5.7。 本轮定位：S03/S04，sections/robustness_and_adaptation.tex（固定commit）。</x:v>
      </x:c>
      <x:c r="J78" s="3" t="str">
        <x:v>S5.7漂移规律、forecast时间点、历史窗口、因果数据切分与更新规则。</x:v>
      </x:c>
      <x:c r="K78" s="3" t="str"/>
    </x:row>
    <x:row r="79" ht="100" customHeight="1">
      <x:c r="A79" s="3" t="str">
        <x:v>N073</x:v>
      </x:c>
      <x:c r="B79" s="3" t="str">
        <x:v>p8 / 3.4 最后一段</x:v>
      </x:c>
      <x:c r="C79" s="3" t="str">
        <x:v>因果适应前后mean forecast error</x:v>
      </x:c>
      <x:c r="D79" s="3" t="str">
        <x:v>387.483 → 9.867</x:v>
      </x:c>
      <x:c r="E79" s="3" t="str">
        <x:v>µm</x:v>
      </x:c>
      <x:c r="F79" s="3" t="str">
        <x:v>拟合输出</x:v>
      </x:c>
      <x:c r="G79" s="3" t="str">
        <x:v>原基准计算输出；已定位补充说明，本轮未逐项重跑</x:v>
      </x:c>
      <x:c r="H79" s="3" t="str">
        <x:v>正文已正确限制其不是stationary KAM保证；需S5.7明确error是否每次RMSE再平均及具体目标量。</x:v>
      </x:c>
      <x:c r="I79" s="3" t="str">
        <x:v>§3.4；Supplementary Section S5.7；nonautonomous forecasts separate from stationary KAM result。 本轮定位：S03/S04，sections/robustness_and_adaptation.tex（固定commit）。</x:v>
      </x:c>
      <x:c r="J79" s="3" t="str">
        <x:v>采用新物理基准时须重生成轨迹、训练与对应输出；不能以文献引用替代运行。</x:v>
      </x:c>
      <x:c r="K79" s="3" t="str"/>
    </x:row>
    <x:row r="80" ht="70" customHeight="1">
      <x:c r="A80" s="3" t="str">
        <x:v>N074</x:v>
      </x:c>
      <x:c r="B80" s="3" t="str">
        <x:v>p8 / 4.1</x:v>
      </x:c>
      <x:c r="C80" s="3" t="str">
        <x:v>用于积分辨识的保留模态数与状态维数</x:v>
      </x:c>
      <x:c r="D80" s="3" t="str">
        <x:v>2 模态；c_j∈R^4</x:v>
      </x:c>
      <x:c r="E80" s="3" t="str">
        <x:v>个/维</x:v>
      </x:c>
      <x:c r="F80" s="3" t="str">
        <x:v>作者选择</x:v>
      </x:c>
      <x:c r="G80" s="3" t="str">
        <x:v>作者设定；可追溯至原稿/补充协议，非外部实测值</x:v>
      </x:c>
      <x:c r="H80" s="3" t="str">
        <x:v>2个位置+2个速度/动量=4维；区别于完整有限元模型的64模态</x:v>
      </x:c>
      <x:c r="I80" s="3" t="str">
        <x:v>§4.1；模型与正则坐标见§2；数据细节指向Supplement S4.5 本轮定位：S03/S04，sections/integral_comsol_to_kam.tex（固定commit）。</x:v>
      </x:c>
      <x:c r="J80" s="3" t="str">
        <x:v>S4.5的两模态COMSOL设置及导出映射</x:v>
      </x:c>
      <x:c r="K80" s="3" t="str"/>
    </x:row>
    <x:row r="81" ht="55" customHeight="1">
      <x:c r="A81" s="3" t="str">
        <x:v>N075</x:v>
      </x:c>
      <x:c r="B81" s="3" t="str">
        <x:v>p8 / 4.1</x:v>
      </x:c>
      <x:c r="C81" s="3" t="str">
        <x:v>积分辨识独立轨迹数 m</x:v>
      </x:c>
      <x:c r="D81" s="3" t="str">
        <x:v>64</x:v>
      </x:c>
      <x:c r="E81" s="3" t="str">
        <x:v>条</x:v>
      </x:c>
      <x:c r="F81" s="3" t="str">
        <x:v>作者选择</x:v>
      </x:c>
      <x:c r="G81" s="3" t="str">
        <x:v>作者设定；可追溯至原稿/补充协议，非外部实测值</x:v>
      </x:c>
      <x:c r="H81" s="3" t="str">
        <x:v>该64指64条两模态轨迹，并非64模态全梁数据</x:v>
      </x:c>
      <x:c r="I81" s="3" t="str">
        <x:v>§4.1；Supplement S4.5 本轮定位：S03/S04，sections/integral_comsol_to_kam.tex（固定commit）。</x:v>
      </x:c>
      <x:c r="J81" s="3" t="str">
        <x:v>S4.5的轨迹初值、生成脚本与COMSOL文件</x:v>
      </x:c>
      <x:c r="K81" s="3" t="str"/>
    </x:row>
    <x:row r="82" ht="70" customHeight="1">
      <x:c r="A82" s="3" t="str">
        <x:v>N076</x:v>
      </x:c>
      <x:c r="B82" s="3" t="str">
        <x:v>p8 / 4.1</x:v>
      </x:c>
      <x:c r="C82" s="3" t="str">
        <x:v>每条轨迹的位置-速度观测数</x:v>
      </x:c>
      <x:c r="D82" s="3" t="str">
        <x:v>17</x:v>
      </x:c>
      <x:c r="E82" s="3" t="str">
        <x:v>个时间点/轨迹</x:v>
      </x:c>
      <x:c r="F82" s="3" t="str">
        <x:v>作者选择</x:v>
      </x:c>
      <x:c r="G82" s="3" t="str">
        <x:v>时窗量级已补；精确T与17个时间戳未核</x:v>
      </x:c>
      <x:c r="H82" s="3" t="str">
        <x:v>S4.5已给每轨无量纲[0,T]、T≈.04和17次观测，共64初态；相当于旧时间尺度约3.503ms。精确T和时间数组仍需原始导出；不得从17点自行断言等间隔。</x:v>
      </x:c>
      <x:c r="I82" s="3" t="str">
        <x:v>S04固定commit：sections/integral_comsol_to_kam.tex S4.5</x:v>
      </x:c>
      <x:c r="J82" s="3" t="str">
        <x:v>精确T数值/二进有理值；17个实际观测时间戳及是否等间隔；64个原始初态与状态文件；该短轨迹COMSOL预设求解器配置（不能从其它COMSOL试验借用）</x:v>
      </x:c>
      <x:c r="K82" s="3" t="str">
        <x:v>S04</x:v>
      </x:c>
    </x:row>
    <x:row r="83" ht="55" customHeight="1">
      <x:c r="A83" s="3" t="str">
        <x:v>N077</x:v>
      </x:c>
      <x:c r="B83" s="3" t="str">
        <x:v>p8 / 4.1</x:v>
      </x:c>
      <x:c r="C83" s="3" t="str">
        <x:v>拟合曲线多项式次数</x:v>
      </x:c>
      <x:c r="D83" s="3" t="str">
        <x:v>8</x:v>
      </x:c>
      <x:c r="E83" s="3" t="str">
        <x:v>次</x:v>
      </x:c>
      <x:c r="F83" s="3" t="str">
        <x:v>作者选择</x:v>
      </x:c>
      <x:c r="G83" s="3" t="str">
        <x:v>作者设定；可追溯至原稿/补充协议，非外部实测值</x:v>
      </x:c>
      <x:c r="H83" s="3" t="str">
        <x:v>degree-eight并不由17点唯一决定；端点固定与中间拟合方法必须给出</x:v>
      </x:c>
      <x:c r="I83" s="3" t="str">
        <x:v>§4.1；Supplement S4.5 本轮定位：S03/S04，sections/integral_comsol_to_kam.tex（固定commit）。</x:v>
      </x:c>
      <x:c r="J83" s="3" t="str">
        <x:v>拟合基函数、求解方法、时间缩放、端点约束及残差记录</x:v>
      </x:c>
      <x:c r="K83" s="3" t="str"/>
    </x:row>
    <x:row r="84" ht="55" customHeight="1">
      <x:c r="A84" s="3" t="str">
        <x:v>N078</x:v>
      </x:c>
      <x:c r="B84" s="3" t="str">
        <x:v>p8 / 4.1 式(22)</x:v>
      </x:c>
      <x:c r="C84" s="3" t="str">
        <x:v>堆叠RMS/Gram矩阵归一化中的标量方程数</x:v>
      </x:c>
      <x:c r="D84" s="3" t="str">
        <x:v>4m=256</x:v>
      </x:c>
      <x:c r="E84" s="3" t="str">
        <x:v>个标量方程</x:v>
      </x:c>
      <x:c r="F84" s="11" t="str">
        <x:v>公式派生</x:v>
      </x:c>
      <x:c r="G84" s="3" t="str">
        <x:v>由数据矩阵定义派生；不是外部经验常数</x:v>
      </x:c>
      <x:c r="H84" s="3" t="str">
        <x:v>每轨迹端点积分形成4个标量方程，因此G_I=(4m)^(-1)ΣD_j^TD_j正确</x:v>
      </x:c>
      <x:c r="I84" s="3" t="str">
        <x:v>式(22)、4维状态与m=64 本轮定位：S03/S04，sections/integral_comsol_to_kam.tex（固定commit）。</x:v>
      </x:c>
      <x:c r="J84" s="3" t="str">
        <x:v>D_j、y_j矩阵，用以确认代码也采用同一归一化</x:v>
      </x:c>
      <x:c r="K84" s="3" t="str"/>
    </x:row>
    <x:row r="85" ht="70" customHeight="1">
      <x:c r="A85" s="3" t="str">
        <x:v>N079</x:v>
      </x:c>
      <x:c r="B85" s="3" t="str">
        <x:v>p9 / Table 4</x:v>
      </x:c>
      <x:c r="C85" s="3" t="str">
        <x:v>训练 MSE 区间</x:v>
      </x:c>
      <x:c r="D85" s="3" t="str">
        <x:v>[3.6030,3.6031]×10^-23</x:v>
      </x:c>
      <x:c r="E85" s="3" t="str">
        <x:v>无量纲平方残差</x:v>
      </x:c>
      <x:c r="F85" s="3" t="str">
        <x:v>拟合输出</x:v>
      </x:c>
      <x:c r="G85" s="3" t="str">
        <x:v>原基准计算输出；已定位补充说明，本轮未逐项重跑</x:v>
      </x:c>
      <x:c r="H85" s="3" t="str">
        <x:v>平方根区间约[6.00249948,6.00258278]×10^-12，与r_I≤6.003×10^-12自洽；原始MSE不能从正文重算</x:v>
      </x:c>
      <x:c r="I85" s="3" t="str">
        <x:v>Table 4；§4.1的r_I定义；Supplement S4.5 本轮定位：S03/S04，sections/integral_comsol_to_kam.tex（固定commit）。</x:v>
      </x:c>
      <x:c r="J85" s="3" t="str">
        <x:v>采用新物理基准时须重生成轨迹、训练与对应输出；不能以文献引用替代运行。</x:v>
      </x:c>
      <x:c r="K85" s="3" t="str"/>
    </x:row>
    <x:row r="86" ht="85" customHeight="1">
      <x:c r="A86" s="3" t="str">
        <x:v>N080</x:v>
      </x:c>
      <x:c r="B86" s="3" t="str">
        <x:v>p9 / Table 4</x:v>
      </x:c>
      <x:c r="C86" s="3" t="str">
        <x:v>积分拟合RMS残差 r_I 上界</x:v>
      </x:c>
      <x:c r="D86" s="3" t="str">
        <x:v>≤6.003×10^-12</x:v>
      </x:c>
      <x:c r="E86" s="3" t="str">
        <x:v>无量纲残差</x:v>
      </x:c>
      <x:c r="F86" s="3" t="str">
        <x:v>数值认证</x:v>
      </x:c>
      <x:c r="G86" s="3" t="str">
        <x:v>原基准认证声称；已取得补充材料，未逐项独立复验</x:v>
      </x:c>
      <x:c r="H86" s="3" t="str">
        <x:v>由表内MSE开方得到的保守上界正确；数据本身待验 此处单位按无量纲时间τ=ω0t解释；式(22)的t记号需澄清。若使用物理秒，D、y、rI、εI应同乘ω0，Gram同乘ω0²，bI保持不变。</x:v>
      </x:c>
      <x:c r="I86" s="3" t="str">
        <x:v>Table 4；式(22)–(23)；Supplement S4.5 本轮定位：S03/S04，sections/integral_comsol_to_kam.tex（固定commit）。</x:v>
      </x:c>
      <x:c r="J86" s="3" t="str">
        <x:v>更换物理参数或有限元质量矩阵后，须重新生成并验证对应区间证书；旧界不移植。</x:v>
      </x:c>
      <x:c r="K86" s="3" t="str"/>
    </x:row>
    <x:row r="87" ht="70" customHeight="1">
      <x:c r="A87" s="3" t="str">
        <x:v>N081</x:v>
      </x:c>
      <x:c r="B87" s="3" t="str">
        <x:v>p9 / Table 4</x:v>
      </x:c>
      <x:c r="C87" s="3" t="str">
        <x:v>积分物理缺陷 ε_I 上界</x:v>
      </x:c>
      <x:c r="D87" s="3" t="str">
        <x:v>≤6.884×10^-12</x:v>
      </x:c>
      <x:c r="E87" s="3" t="str">
        <x:v>无量纲缺陷</x:v>
      </x:c>
      <x:c r="F87" s="3" t="str">
        <x:v>数值认证</x:v>
      </x:c>
      <x:c r="G87" s="3" t="str">
        <x:v>原基准认证声称；已取得补充材料，未逐项独立复验</x:v>
      </x:c>
      <x:c r="H87" s="3" t="str">
        <x:v>正文没有曲线系数/积分区间/余项细节，无法复算</x:v>
      </x:c>
      <x:c r="I87" s="3" t="str">
        <x:v>§4.1的e_j定义与区间积分说明；Supplement S4.5 本轮定位：S03/S04，sections/integral_comsol_to_kam.tex（固定commit）。</x:v>
      </x:c>
      <x:c r="J87" s="3" t="str">
        <x:v>更换物理参数或有限元质量矩阵后，须重新生成并验证对应区间证书；旧界不移植。</x:v>
      </x:c>
      <x:c r="K87" s="3" t="str"/>
    </x:row>
    <x:row r="88" ht="70" customHeight="1">
      <x:c r="A88" s="3" t="str">
        <x:v>N082</x:v>
      </x:c>
      <x:c r="B88" s="3" t="str">
        <x:v>p9 / Table 4</x:v>
      </x:c>
      <x:c r="C88" s="3" t="str">
        <x:v>积分设计Gram矩阵最小特征值下界</x:v>
      </x:c>
      <x:c r="D88" s="3" t="str">
        <x:v>λ_min(G_I)≥2.930×10^-7</x:v>
      </x:c>
      <x:c r="E88" s="3" t="str">
        <x:v>无量纲</x:v>
      </x:c>
      <x:c r="F88" s="3" t="str">
        <x:v>数值认证</x:v>
      </x:c>
      <x:c r="G88" s="3" t="str">
        <x:v>原基准认证声称；已取得补充材料，未逐项独立复验</x:v>
      </x:c>
      <x:c r="H88" s="3" t="str">
        <x:v>可知4m=256足以容纳35参数，但满秩及数值特征值必须由矩阵认证，正文不能独立重算</x:v>
      </x:c>
      <x:c r="I88" s="3" t="str">
        <x:v>式(22)、Table 4；Supplement S4.5 本轮定位：S03/S04，sections/integral_comsol_to_kam.tex（固定commit）。</x:v>
      </x:c>
      <x:c r="J88" s="3" t="str">
        <x:v>更换物理参数或有限元质量矩阵后，须重新生成并验证对应区间证书；旧界不移植。</x:v>
      </x:c>
      <x:c r="K88" s="3" t="str"/>
    </x:row>
    <x:row r="89" ht="70" customHeight="1">
      <x:c r="A89" s="3" t="str">
        <x:v>N083</x:v>
      </x:c>
      <x:c r="B89" s="3" t="str">
        <x:v>p9 / Table 4</x:v>
      </x:c>
      <x:c r="C89" s="3" t="str">
        <x:v>参数系数误差上界 b_I</x:v>
      </x:c>
      <x:c r="D89" s="3" t="str">
        <x:v>≤2.381×10^-8</x:v>
      </x:c>
      <x:c r="E89" s="3" t="str">
        <x:v>无量纲系数范数</x:v>
      </x:c>
      <x:c r="F89" s="11" t="str">
        <x:v>公式派生</x:v>
      </x:c>
      <x:c r="G89" s="3" t="str">
        <x:v>由作者r_I、ε_I、λ下界代入显式公式派生</x:v>
      </x:c>
      <x:c r="H89" s="3" t="str">
        <x:v>(6.003e-12+6.884e-12)/sqrt(2.930e-7)=2.3807731629e-8，向上取2.381e-8正确</x:v>
      </x:c>
      <x:c r="I89" s="3" t="str">
        <x:v>式(23)和Table 4三项输入；Supplement S4.5 本轮定位：S03/S04，sections/integral_comsol_to_kam.tex（固定commit）。</x:v>
      </x:c>
      <x:c r="J89" s="3" t="str">
        <x:v>要最终验证仍需上游三个认证输入和导出舍入预算</x:v>
      </x:c>
      <x:c r="K89" s="3" t="str"/>
    </x:row>
    <x:row r="90" ht="70" customHeight="1">
      <x:c r="A90" s="3" t="str">
        <x:v>N084</x:v>
      </x:c>
      <x:c r="B90" s="3" t="str">
        <x:v>p9 / Table 4</x:v>
      </x:c>
      <x:c r="C90" s="3" t="str">
        <x:v>学习后的四次twist误差上界</x:v>
      </x:c>
      <x:c r="D90" s="3" t="str">
        <x:v>≤1.038×10^-7</x:v>
      </x:c>
      <x:c r="E90" s="3" t="str">
        <x:v>无量纲矩阵谱范数</x:v>
      </x:c>
      <x:c r="F90" s="3" t="str">
        <x:v>数值认证</x:v>
      </x:c>
      <x:c r="G90" s="3" t="str">
        <x:v>原基准认证声称；已取得补充材料，未逐项独立复验</x:v>
      </x:c>
      <x:c r="H90" s="3" t="str">
        <x:v>sqrt(19)×2.3807731629e-8=1.0377549625e-7，与数字匹配；完整复算还需||B||及δ_dec</x:v>
      </x:c>
      <x:c r="I90" s="3" t="str">
        <x:v>式(25)、Table 4；Supplement S4.5/S4.1–S4.2 本轮定位：S03/S04，sections/integral_comsol_to_kam.tex（固定commit）。</x:v>
      </x:c>
      <x:c r="J90" s="3" t="str">
        <x:v>更换物理参数或有限元质量矩阵后，须重新生成并验证对应区间证书；旧界不移植。</x:v>
      </x:c>
      <x:c r="K90" s="3" t="str"/>
    </x:row>
    <x:row r="91" ht="70" customHeight="1">
      <x:c r="A91" s="3" t="str">
        <x:v>N085</x:v>
      </x:c>
      <x:c r="B91" s="3" t="str">
        <x:v>p9 / Table 4</x:v>
      </x:c>
      <x:c r="C91" s="3" t="str">
        <x:v>目标twist最小奇异值下界</x:v>
      </x:c>
      <x:c r="D91" s="3" t="str">
        <x:v>σ_min(A_star)≥4.903×10^-4</x:v>
      </x:c>
      <x:c r="E91" s="3" t="str">
        <x:v>无量纲</x:v>
      </x:c>
      <x:c r="F91" s="3" t="str">
        <x:v>数值认证</x:v>
      </x:c>
      <x:c r="G91" s="3" t="str">
        <x:v>原基准认证声称；已取得补充材料，未逐项独立复验</x:v>
      </x:c>
      <x:c r="H91" s="3" t="str">
        <x:v>用正文d复算σ_min≈5.8064302126e-4，因此≥4.903e-4不矛盾但较保守；学习后保守余量≥4.901962e-4</x:v>
      </x:c>
      <x:c r="I91" s="3" t="str">
        <x:v>式(24)、正文§2.1给出的d；Supplement S4.5/S4.1–S4.2 本轮定位：S03/S04，sections/integral_comsol_to_kam.tex（固定commit）。</x:v>
      </x:c>
      <x:c r="J91" s="3" t="str">
        <x:v>更换物理参数或有限元质量矩阵后，须重新生成并验证对应区间证书；旧界不移植。</x:v>
      </x:c>
      <x:c r="K91" s="3" t="str"/>
    </x:row>
    <x:row r="92" ht="70" customHeight="1">
      <x:c r="A92" s="3" t="str">
        <x:v>N086</x:v>
      </x:c>
      <x:c r="B92" s="3" t="str">
        <x:v>p9 / Table 4</x:v>
      </x:c>
      <x:c r="C92" s="3" t="str">
        <x:v>解析误差评价复多圆盘半径</x:v>
      </x:c>
      <x:c r="D92" s="3" t="str">
        <x:v>r=0.3</x:v>
      </x:c>
      <x:c r="E92" s="3" t="str">
        <x:v>无量纲正则坐标</x:v>
      </x:c>
      <x:c r="F92" s="3" t="str">
        <x:v>作者选择</x:v>
      </x:c>
      <x:c r="G92" s="3" t="str">
        <x:v>作者设定；可追溯至原稿/补充协议，非外部实测值</x:v>
      </x:c>
      <x:c r="H92" s="3" t="str">
        <x:v>r=.3是原证书复域选择；随新d变化，Dr及解析余项界均改变。</x:v>
      </x:c>
      <x:c r="I92" s="3" t="str">
        <x:v>Table 4；式(23)；Supplement S4.5 本轮定位：S03/S04，sections/integral_comsol_to_kam.tex（固定commit）。</x:v>
      </x:c>
      <x:c r="J92" s="3" t="str">
        <x:v>新模型需重检复域可用性、特征范数、解析尾项与KAM门槛。</x:v>
      </x:c>
      <x:c r="K92" s="3" t="str"/>
    </x:row>
    <x:row r="93" ht="70" customHeight="1">
      <x:c r="A93" s="3" t="str">
        <x:v>N087</x:v>
      </x:c>
      <x:c r="B93" s="3" t="str">
        <x:v>p9 / Table 4</x:v>
      </x:c>
      <x:c r="C93" s="3" t="str">
        <x:v>导出学习能量与目标的解析范数误差上界</x:v>
      </x:c>
      <x:c r="D93" s="3" t="str">
        <x:v>||h_hat-h_star||_0.3≤1.331×10^-9</x:v>
      </x:c>
      <x:c r="E93" s="3" t="str">
        <x:v>无量纲能量</x:v>
      </x:c>
      <x:c r="F93" s="3" t="str">
        <x:v>数值认证</x:v>
      </x:c>
      <x:c r="G93" s="3" t="str">
        <x:v>原基准认证声称；已取得补充材料，未逐项独立复验</x:v>
      </x:c>
      <x:c r="H93" s="3" t="str">
        <x:v>正文缺B_F(0.3)、δ_h,dec，无法独立重算；与后续1e-77环面残差是不同误差量，不能混同</x:v>
      </x:c>
      <x:c r="I93" s="3" t="str">
        <x:v>式(23)；Table 4；Supplement S4.5 本轮定位：S03/S04，sections/integral_comsol_to_kam.tex（固定commit）。</x:v>
      </x:c>
      <x:c r="J93" s="3" t="str">
        <x:v>更换物理参数或有限元质量矩阵后，须重新生成并验证对应区间证书；旧界不移植。</x:v>
      </x:c>
      <x:c r="K93" s="3" t="str"/>
    </x:row>
    <x:row r="94" ht="70" customHeight="1">
      <x:c r="A94" s="3" t="str">
        <x:v>N088</x:v>
      </x:c>
      <x:c r="B94" s="3" t="str">
        <x:v>p8–9 / 4.2 式(24)</x:v>
      </x:c>
      <x:c r="C94" s="3" t="str">
        <x:v>余弦四次项、角平均与twist中的固定数系数</x:v>
      </x:c>
      <x:c r="D94" s="3" t="str">
        <x:v>-1/24；〈X_j^4〉=(3/2)I_j^2；〈X_1^2X_2^2〉=I_1I_2；A的-1/8与交叉系数2；det系数-3/64</x:v>
      </x:c>
      <x:c r="E94" s="3" t="str">
        <x:v>无量纲</x:v>
      </x:c>
      <x:c r="F94" s="11" t="str">
        <x:v>公式派生</x:v>
      </x:c>
      <x:c r="G94" s="3" t="str">
        <x:v>数学恒等式派生，不需用工程材料来源背书</x:v>
      </x:c>
      <x:c r="H94" s="3" t="str">
        <x:v>直接展开(d_1X_1+d_2X_2)^4并角平均，可完整复现正文A和det；已核对正确</x:v>
      </x:c>
      <x:c r="I94" s="3" t="str">
        <x:v>余弦Taylor展开与行动角变量定义；式(24) 本轮定位：S03/S04，sections/integral_comsol_to_kam.tex（固定commit）。</x:v>
      </x:c>
      <x:c r="J94" s="3" t="str">
        <x:v>无需额外材料检验代数；实际A数值仍依赖精确d</x:v>
      </x:c>
      <x:c r="K94" s="3" t="str"/>
    </x:row>
    <x:row r="95" ht="70" customHeight="1">
      <x:c r="A95" s="3" t="str">
        <x:v>N089</x:v>
      </x:c>
      <x:c r="B95" s="3" t="str">
        <x:v>p9 / 4.2 式(25)</x:v>
      </x:c>
      <x:c r="C95" s="3" t="str">
        <x:v>四次单项式系数到twist算子界</x:v>
      </x:c>
      <x:c r="D95" s="3" t="str">
        <x:v>sqrt(19)</x:v>
      </x:c>
      <x:c r="E95" s="3" t="str">
        <x:v>无量纲</x:v>
      </x:c>
      <x:c r="F95" s="11" t="str">
        <x:v>公式派生</x:v>
      </x:c>
      <x:c r="G95" s="3" t="str">
        <x:v>模型特定的线性算子界，不是引用文献的通用KAM常数</x:v>
      </x:c>
      <x:c r="H95" s="3" t="str">
        <x:v>A11和A22各取3个系数权重(3,3,1)，平方和19；A12取4个系数，Frobenius权重2给8；故||A||2≤sqrt19||c||2，成立</x:v>
      </x:c>
      <x:c r="I95" s="3" t="str">
        <x:v>作者式(25)与解释，具体四次特征结构见式(20) 本轮定位：S03/S04，sections/integral_comsol_to_kam.tex（固定commit）。</x:v>
      </x:c>
      <x:c r="J95" s="3" t="str">
        <x:v>精确单项式顺序仅用于对接代码；数学界可由正文复现</x:v>
      </x:c>
      <x:c r="K95" s="3" t="str"/>
    </x:row>
    <x:row r="96" ht="70" customHeight="1">
      <x:c r="A96" s="3" t="str">
        <x:v>N090</x:v>
      </x:c>
      <x:c r="B96" s="3" t="str">
        <x:v>p9 / 4.2</x:v>
      </x:c>
      <x:c r="C96" s="3" t="str">
        <x:v>余弦解析尾项起始阶与阶乘常数</x:v>
      </x:c>
      <x:c r="D96" s="3" t="str">
        <x:v>六阶；(Dr)^6 cosh(Dr)/720；720=6!</x:v>
      </x:c>
      <x:c r="E96" s="3" t="str">
        <x:v>无量纲</x:v>
      </x:c>
      <x:c r="F96" s="11" t="str">
        <x:v>公式派生</x:v>
      </x:c>
      <x:c r="G96" s="3" t="str">
        <x:v>解析展开派生，不是试验/文献给定参数</x:v>
      </x:c>
      <x:c r="H96" s="3" t="str">
        <x:v>对目标g成立；用于学习模型a g时须核查|a|处理；正规化后还需包含Lie变换新生六阶余项</x:v>
      </x:c>
      <x:c r="I96" s="3" t="str">
        <x:v>余弦Taylor余项；正文§4.2；Supplement S4.1–S4.2 本轮定位：S03/S04，sections/integral_comsol_to_kam.tex（固定commit）。</x:v>
      </x:c>
      <x:c r="J96" s="3" t="str">
        <x:v>S4.1–S4.2完整余项预算；学习系数a的区间及变换生成项</x:v>
      </x:c>
      <x:c r="K96" s="3" t="str"/>
    </x:row>
    <x:row r="97" ht="70" customHeight="1">
      <x:c r="A97" s="3" t="str">
        <x:v>N091</x:v>
      </x:c>
      <x:c r="B97" s="3" t="str">
        <x:v>p9 / 4.2</x:v>
      </x:c>
      <x:c r="C97" s="3" t="str">
        <x:v>用于构造局部Birkhoff正规形的非共振检查阶数</x:v>
      </x:c>
      <x:c r="D97" s="3" t="str">
        <x:v>4；所得余项O(r^6)</x:v>
      </x:c>
      <x:c r="E97" s="3" t="str">
        <x:v>阶</x:v>
      </x:c>
      <x:c r="F97" s="11" t="str">
        <x:v>公式派生</x:v>
      </x:c>
      <x:c r="G97" s="3" t="str">
        <x:v>四次特征和无三次项决定此检查层级；不是以有限四阶扫描替代有限振幅torus的全整数Diophantine证明</x:v>
      </x:c>
      <x:c r="H97" s="3" t="str">
        <x:v>正文ν=(1,6.152117504)满足0&lt;|k|1≤4的非共振，显示数值下最小|k·ν|为1；局部路线合理</x:v>
      </x:c>
      <x:c r="I97" s="3" t="str">
        <x:v>§4.2；Supplement S4.1–S4.2；一般KAM/正规形背景 本轮定位：S03/S04，sections/unified_kam.tex（固定commit）。</x:v>
      </x:c>
      <x:c r="J97" s="3" t="str">
        <x:v>S4.1–S4.2的除数区间下界、正规化域和完整余项</x:v>
      </x:c>
      <x:c r="K97" s="3" t="str"/>
    </x:row>
    <x:row r="98" ht="85" customHeight="1">
      <x:c r="A98" s="3" t="str">
        <x:v>N092</x:v>
      </x:c>
      <x:c r="B98" s="3" t="str">
        <x:v>p9 / 4.3 Theorem 2</x:v>
      </x:c>
      <x:c r="C98" s="3" t="str">
        <x:v>被认证环面的维数及环境维数</x:v>
      </x:c>
      <x:c r="D98" s="3" t="str">
        <x:v>K_∞:T^2→R^4</x:v>
      </x:c>
      <x:c r="E98" s="3" t="str">
        <x:v>维</x:v>
      </x:c>
      <x:c r="F98" s="11" t="str">
        <x:v>公式派生</x:v>
      </x:c>
      <x:c r="G98" s="3" t="str">
        <x:v>2自由度Lagrangian torus的维数；被引定理允许d=n=2</x:v>
      </x:c>
      <x:c r="H98" s="3" t="str">
        <x:v>Haro–Luque Remark 3.2明示d=n时不需额外first integrals，应用维数匹配</x:v>
      </x:c>
      <x:c r="I98" s="3" t="str">
        <x:v>两模态Hamiltonian；Theorem 2；Haro–Luque (2019), Theorem 3.1, arXiv:1711.05515v1 本轮定位：S03/S04，sections/unified_kam.tex（固定commit）。</x:v>
      </x:c>
      <x:c r="J98" s="3" t="str">
        <x:v>环面嵌入/满秩证书仍需S4.3</x:v>
      </x:c>
      <x:c r="K98" s="3" t="str">
        <x:v>L05；S01/S02</x:v>
      </x:c>
    </x:row>
    <x:row r="99" ht="70" customHeight="1">
      <x:c r="A99" s="3" t="str">
        <x:v>N093</x:v>
      </x:c>
      <x:c r="B99" s="3" t="str">
        <x:v>p9 / 4.3 Theorem 2</x:v>
      </x:c>
      <x:c r="C99" s="3" t="str">
        <x:v>torus角变量周期约定</x:v>
      </x:c>
      <x:c r="D99" s="3" t="str">
        <x:v>1</x:v>
      </x:c>
      <x:c r="E99" s="3" t="str">
        <x:v>每角周期</x:v>
      </x:c>
      <x:c r="F99" s="3" t="str">
        <x:v>作者选择</x:v>
      </x:c>
      <x:c r="G99" s="3" t="str">
        <x:v>作者设定；可追溯至原稿/补充协议，非外部实测值</x:v>
      </x:c>
      <x:c r="H99" s="3" t="str">
        <x:v>此时varpi以cycles/τ计，物理角频率须乘2π ω0；正文后续确有该换算</x:v>
      </x:c>
      <x:c r="I99" s="3" t="str">
        <x:v>Theorem 2紧接式(26)的文字；Haro–Luque使用T^d=R^d/Z^d 本轮定位：S03/S04，sections/unified_kam.tex（固定commit）。</x:v>
      </x:c>
      <x:c r="J99" s="3" t="str">
        <x:v>精确varpi定义S68–S69与傅里叶指数约定</x:v>
      </x:c>
      <x:c r="K99" s="3" t="str">
        <x:v>L05；S01/S02</x:v>
      </x:c>
    </x:row>
    <x:row r="100" ht="70" customHeight="1">
      <x:c r="A100" s="3" t="str">
        <x:v>N094</x:v>
      </x:c>
      <x:c r="B100" s="3" t="str">
        <x:v>p9 / 4.3 Theorem 2</x:v>
      </x:c>
      <x:c r="C100" s="3" t="str">
        <x:v>被认证精确频率 varpi</x:v>
      </x:c>
      <x:c r="D100" s="3" t="str">
        <x:v>正文未列数值；指定于(S68)–(S69)</x:v>
      </x:c>
      <x:c r="E100" s="3" t="str">
        <x:v>cycles/无量纲时间</x:v>
      </x:c>
      <x:c r="F100" s="3" t="str">
        <x:v>作者选择</x:v>
      </x:c>
      <x:c r="G100" s="3" t="str">
        <x:v>精确构造已补；本轮未重做其认证计算</x:v>
      </x:c>
      <x:c r="H100" s="3" t="str">
        <x:v>S68-S69已给黄金比的Möbius变换精确频率及无限连分数尾；不是有限小数估计。S70是另一full-FE COMSOL拟合的频率，须分别引用。</x:v>
      </x:c>
      <x:c r="I100" s="3" t="str">
        <x:v>S04固定commit：sections/unified_kam.tex S4.3；sections/integral_comsol_to_kam.tex S4.5</x:v>
      </x:c>
      <x:c r="J100" s="3" t="str">
        <x:v>本轮只定位原文精确定义及其证明说明，未重新执行Arb/Fourier认证程序</x:v>
      </x:c>
      <x:c r="K100" s="3" t="str">
        <x:v>S04</x:v>
      </x:c>
    </x:row>
    <x:row r="101" ht="85" customHeight="1">
      <x:c r="A101" s="3" t="str">
        <x:v>N095</x:v>
      </x:c>
      <x:c r="B101" s="3" t="str">
        <x:v>p9 / 4.3 Theorem 2</x:v>
      </x:c>
      <x:c r="C101" s="3" t="str">
        <x:v>精确环面与计算Fourier嵌入的距离上界</x:v>
      </x:c>
      <x:c r="D101" s="3" t="str">
        <x:v>2.0894×10^-41</x:v>
      </x:c>
      <x:c r="E101" s="3" t="str">
        <x:v>无量纲正则坐标范数</x:v>
      </x:c>
      <x:c r="F101" s="3" t="str">
        <x:v>数值认证</x:v>
      </x:c>
      <x:c r="G101" s="3" t="str">
        <x:v>原基准认证声称；已取得补充材料，未逐项独立复验</x:v>
      </x:c>
      <x:c r="H101" s="3" t="str">
        <x:v>量纲/性质合理；正文缺C2、规范及候选系数，无法复算该41位精度界</x:v>
      </x:c>
      <x:c r="I101" s="3" t="str">
        <x:v>Theorem 2；Haro–Luque Theorem 3.1的误差估计形式；具体证书Supplement S4.3 本轮定位：S03/S04，sections/unified_kam.tex（固定commit）。</x:v>
      </x:c>
      <x:c r="J101" s="3" t="str">
        <x:v>更换物理参数或有限元质量矩阵后，须重新生成并验证对应区间证书；旧界不移植。</x:v>
      </x:c>
      <x:c r="K101" s="3" t="str">
        <x:v>L05；S01/S02</x:v>
      </x:c>
    </x:row>
    <x:row r="102" ht="85" customHeight="1">
      <x:c r="A102" s="3" t="str">
        <x:v>N096</x:v>
      </x:c>
      <x:c r="B102" s="3" t="str">
        <x:v>p9 / 4.3 Theorem 2</x:v>
      </x:c>
      <x:c r="C102" s="3" t="str">
        <x:v>结论中精确环面的解析条带宽度</x:v>
      </x:c>
      <x:c r="D102" s="3" t="str">
        <x:v>1/80=0.0125</x:v>
      </x:c>
      <x:c r="E102" s="3" t="str">
        <x:v>无量纲角坐标虚部宽度</x:v>
      </x:c>
      <x:c r="F102" s="3" t="str">
        <x:v>作者选择</x:v>
      </x:c>
      <x:c r="G102" s="3" t="str">
        <x:v>作者设定；可追溯至原稿/补充协议，非外部实测值</x:v>
      </x:c>
      <x:c r="H102" s="3" t="str">
        <x:v>1/80&lt;1/40满足条带收缩关系；具体可行性取决于全部门槛</x:v>
      </x:c>
      <x:c r="I102" s="3" t="str">
        <x:v>Theorem 2；Haro–Luque Theorem 3.1允许0&lt;rho_∞&lt;rho；具体选择Supplement S4.3 本轮定位：S03/S04，sections/unified_kam.tex（固定commit）。</x:v>
      </x:c>
      <x:c r="J102" s="3" t="str">
        <x:v>S4.3中rho/rho_∞/每步收缩参数与误差预算</x:v>
      </x:c>
      <x:c r="K102" s="3" t="str">
        <x:v>L05；S01/S02</x:v>
      </x:c>
    </x:row>
    <x:row r="103" ht="85" customHeight="1">
      <x:c r="A103" s="3" t="str">
        <x:v>N097</x:v>
      </x:c>
      <x:c r="B103" s="3" t="str">
        <x:v>p9 / 4.3 Theorem 2</x:v>
      </x:c>
      <x:c r="C103" s="3" t="str">
        <x:v>精确环面可达到的尖端位移下界</x:v>
      </x:c>
      <x:c r="D103" s="3" t="str">
        <x:v>≥1.8977904</x:v>
      </x:c>
      <x:c r="E103" s="3" t="str">
        <x:v>mm</x:v>
      </x:c>
      <x:c r="F103" s="3" t="str">
        <x:v>数值认证</x:v>
      </x:c>
      <x:c r="G103" s="3" t="str">
        <x:v>原基准认证声称；已取得补充材料，未逐项独立复验</x:v>
      </x:c>
      <x:c r="H103" s="3" t="str">
        <x:v>无法由只给d、ell(L)和未提供K的正文复算；不是一般KAM定理直接给幅值</x:v>
      </x:c>
      <x:c r="I103" s="3" t="str">
        <x:v>Theorem 2；证明末尾Fourier bounds及Hermite-element convex-hull说明；Supplement S4.3 本轮定位：S03/S04，sections/unified_kam.tex（固定commit）。</x:v>
      </x:c>
      <x:c r="J103" s="3" t="str">
        <x:v>更换物理参数或有限元质量矩阵后，须重新生成并验证对应区间证书；旧界不移植。</x:v>
      </x:c>
      <x:c r="K103" s="3" t="str">
        <x:v>L05；S01/S02</x:v>
      </x:c>
    </x:row>
    <x:row r="104" ht="70" customHeight="1">
      <x:c r="A104" s="3" t="str">
        <x:v>N098</x:v>
      </x:c>
      <x:c r="B104" s="3" t="str">
        <x:v>p9 / 4.3 Theorem 2</x:v>
      </x:c>
      <x:c r="C104" s="3" t="str">
        <x:v>精确低模态环面全中心线位移上界</x:v>
      </x:c>
      <x:c r="D104" s="3" t="str">
        <x:v>≤1.8977962</x:v>
      </x:c>
      <x:c r="E104" s="3" t="str">
        <x:v>mm</x:v>
      </x:c>
      <x:c r="F104" s="3" t="str">
        <x:v>数值认证</x:v>
      </x:c>
      <x:c r="G104" s="3" t="str">
        <x:v>原基准认证声称；已取得补充材料，未逐项独立复验</x:v>
      </x:c>
      <x:c r="H104" s="3" t="str">
        <x:v>须使用真正Bernstein/Bézier控制点或区间极值，而不能把Hermite端点位移当凸包；正文细节不足以确认做法</x:v>
      </x:c>
      <x:c r="I104" s="3" t="str">
        <x:v>Theorem 2；Supplement S4.3；Fourier+Hermite-element convex-hull说明 本轮定位：S03/S04，sections/unified_kam.tex（固定commit）。</x:v>
      </x:c>
      <x:c r="J104" s="3" t="str">
        <x:v>更换物理参数或有限元质量矩阵后，须重新生成并验证对应区间证书；旧界不移植。</x:v>
      </x:c>
      <x:c r="K104" s="3" t="str">
        <x:v>L05；S01/S02</x:v>
      </x:c>
    </x:row>
    <x:row r="105" ht="70" customHeight="1">
      <x:c r="A105" s="3" t="str">
        <x:v>N099</x:v>
      </x:c>
      <x:c r="B105" s="3" t="str">
        <x:v>p9 / 4.3 Proof</x:v>
      </x:c>
      <x:c r="C105" s="3" t="str">
        <x:v>Diophantine常数 gamma</x:v>
      </x:c>
      <x:c r="D105" s="3" t="str">
        <x:v>9/1750≈0.005142857142857143</x:v>
      </x:c>
      <x:c r="E105" s="3" t="str">
        <x:v>无量纲频率常数</x:v>
      </x:c>
      <x:c r="F105" s="3" t="str">
        <x:v>数值认证</x:v>
      </x:c>
      <x:c r="G105" s="3" t="str">
        <x:v>原基准认证声称；已取得补充材料，未逐项独立复验</x:v>
      </x:c>
      <x:c r="H105" s="3" t="str">
        <x:v>连分数路线数学上可行，但缺精确varpi及部分商全局上界，不能核实该有理数</x:v>
      </x:c>
      <x:c r="I105" s="3" t="str">
        <x:v>正文称由频率比的有界连分数系数推出；频率见S68–S69；认证S4.3 本轮定位：S03/S04，sections/unified_kam.tex（固定commit）。</x:v>
      </x:c>
      <x:c r="J105" s="3" t="str">
        <x:v>更换物理参数或有限元质量矩阵后，须重新生成并验证对应区间证书；旧界不移植。</x:v>
      </x:c>
      <x:c r="K105" s="3" t="str">
        <x:v>L05；S01/S02</x:v>
      </x:c>
    </x:row>
    <x:row r="106" ht="55" customHeight="1">
      <x:c r="A106" s="3" t="str">
        <x:v>N100</x:v>
      </x:c>
      <x:c r="B106" s="3" t="str">
        <x:v>p9 / 4.3 Proof</x:v>
      </x:c>
      <x:c r="C106" s="3" t="str">
        <x:v>由连分数得到的小除数界指数</x:v>
      </x:c>
      <x:c r="D106" s="3" t="str">
        <x:v>1，即|k·varpi|≥gamma|k|_1^-1</x:v>
      </x:c>
      <x:c r="E106" s="3" t="str">
        <x:v>指数</x:v>
      </x:c>
      <x:c r="F106" s="11" t="str">
        <x:v>公式派生</x:v>
      </x:c>
      <x:c r="G106" s="3" t="str">
        <x:v>针对二维badly approximable频率的算术推导；需具体频率证明，非仅数值拟合</x:v>
      </x:c>
      <x:c r="H106" s="3" t="str">
        <x:v>若指数1的全整数界成立，则更弱指数3确可沿用同gamma，因为|k|_1≥1</x:v>
      </x:c>
      <x:c r="I106" s="3" t="str">
        <x:v>§4.3证明；S68–S69的频率构造 本轮定位：S03/S04，sections/unified_kam.tex（固定commit）。</x:v>
      </x:c>
      <x:c r="J106" s="3" t="str">
        <x:v>精确频率连分数及尺度转换证明</x:v>
      </x:c>
      <x:c r="K106" s="3" t="str"/>
    </x:row>
    <x:row r="107" ht="70" customHeight="1">
      <x:c r="A107" s="3" t="str">
        <x:v>N101</x:v>
      </x:c>
      <x:c r="B107" s="3" t="str">
        <x:v>p9 / 4.3 Proof</x:v>
      </x:c>
      <x:c r="C107" s="3" t="str">
        <x:v>后验KAM应用采用的Diophantine指数 tau</x:v>
      </x:c>
      <x:c r="D107" s="3" t="str">
        <x:v>3</x:v>
      </x:c>
      <x:c r="E107" s="3" t="str">
        <x:v>指数</x:v>
      </x:c>
      <x:c r="F107" s="3" t="str">
        <x:v>作者选择</x:v>
      </x:c>
      <x:c r="G107" s="3" t="str">
        <x:v>作者设定；可追溯至原稿/补充协议，非外部实测值</x:v>
      </x:c>
      <x:c r="H107" s="3" t="str">
        <x:v>tau=3≥1；从已宣称指数1界可推出该更弱界，逻辑正确</x:v>
      </x:c>
      <x:c r="I107" s="3" t="str">
        <x:v>§4.3；Haro–Luque Theorem 3.1 H5要求tau≥d−1；d=2 本轮定位：S03/S04，sections/unified_kam.tex（固定commit）。</x:v>
      </x:c>
      <x:c r="J107" s="3" t="str">
        <x:v>核实gamma与指数1的上游证书；S4.3常数计算确用tau=3</x:v>
      </x:c>
      <x:c r="K107" s="3" t="str">
        <x:v>L05；S01/S02</x:v>
      </x:c>
    </x:row>
    <x:row r="108" ht="55" customHeight="1">
      <x:c r="A108" s="3" t="str">
        <x:v>N102</x:v>
      </x:c>
      <x:c r="B108" s="3" t="str">
        <x:v>p9 / 4.3 Proof</x:v>
      </x:c>
      <x:c r="C108" s="3" t="str">
        <x:v>候选嵌入残差认证条带宽度 rho</x:v>
      </x:c>
      <x:c r="D108" s="3" t="str">
        <x:v>1/40=0.025</x:v>
      </x:c>
      <x:c r="E108" s="3" t="str">
        <x:v>无量纲角坐标虚部宽度</x:v>
      </x:c>
      <x:c r="F108" s="3" t="str">
        <x:v>作者选择</x:v>
      </x:c>
      <x:c r="G108" s="3" t="str">
        <x:v>作者设定；可追溯至原稿/补充协议，非外部实测值</x:v>
      </x:c>
      <x:c r="H108" s="3" t="str">
        <x:v>可与输出1/80配合；完整候选像必须留在Hamiltonian域内</x:v>
      </x:c>
      <x:c r="I108" s="3" t="str">
        <x:v>§4.3；Supplement S4.3 本轮定位：S03/S04，sections/unified_kam.tex（固定commit）。</x:v>
      </x:c>
      <x:c r="J108" s="3" t="str">
        <x:v>候选复条带包围、到域边界距离、S4.3常数表</x:v>
      </x:c>
      <x:c r="K108" s="3" t="str">
        <x:v>L05；S01/S02</x:v>
      </x:c>
    </x:row>
    <x:row r="109" ht="55" customHeight="1">
      <x:c r="A109" s="3" t="str">
        <x:v>N103</x:v>
      </x:c>
      <x:c r="B109" s="3" t="str">
        <x:v>p9 / 4.3 Proof</x:v>
      </x:c>
      <x:c r="C109" s="3" t="str">
        <x:v>区间/球算术运算精度</x:v>
      </x:c>
      <x:c r="D109" s="3" t="str">
        <x:v>512</x:v>
      </x:c>
      <x:c r="E109" s="3" t="str">
        <x:v>bit</x:v>
      </x:c>
      <x:c r="F109" s="3" t="str">
        <x:v>作者选择</x:v>
      </x:c>
      <x:c r="G109" s="3" t="str">
        <x:v>作者设定；可追溯至原稿/补充协议，非外部实测值</x:v>
      </x:c>
      <x:c r="H109" s="3" t="str">
        <x:v>512 bit为原作者球算术精度选择；应有精度/舍入包围验证。增加位数不能补偿物性来源或模型误差。</x:v>
      </x:c>
      <x:c r="I109" s="3" t="str">
        <x:v>§4.3；Supplement S4.3及计算档案 本轮定位：S03/S04，sections/unified_kam.tex（固定commit）。</x:v>
      </x:c>
      <x:c r="J109" s="3" t="str">
        <x:v>所用ball arithmetic库、舍入模式、精确输入处理、重跑脚本</x:v>
      </x:c>
      <x:c r="K109" s="3" t="str"/>
    </x:row>
    <x:row r="110" ht="70" customHeight="1">
      <x:c r="A110" s="3" t="str">
        <x:v>N104</x:v>
      </x:c>
      <x:c r="B110" s="3" t="str">
        <x:v>p9 / 4.3 Proof</x:v>
      </x:c>
      <x:c r="C110" s="3" t="str">
        <x:v>复条带解析不变性残差上界</x:v>
      </x:c>
      <x:c r="D110" s="3" t="str">
        <x:v>≤2.7310×10^-77</x:v>
      </x:c>
      <x:c r="E110" s="3" t="str">
        <x:v>无量纲向量场残差</x:v>
      </x:c>
      <x:c r="F110" s="3" t="str">
        <x:v>数值认证</x:v>
      </x:c>
      <x:c r="G110" s="3" t="str">
        <x:v>原基准认证声称；已取得补充材料，未逐项独立复验</x:v>
      </x:c>
      <x:c r="H110" s="3" t="str">
        <x:v>不能从单一正文数字复验；与1.331e-9学习误差不是同一个量，不构成冲突</x:v>
      </x:c>
      <x:c r="I110" s="3" t="str">
        <x:v>§4.3；Supplement S4.3；称含interpolation tails 本轮定位：S03/S04，sections/unified_kam.tex（固定commit）。</x:v>
      </x:c>
      <x:c r="J110" s="3" t="str">
        <x:v>更换物理参数或有限元质量矩阵后，须重新生成并验证对应区间证书；旧界不移植。</x:v>
      </x:c>
      <x:c r="K110" s="3" t="str">
        <x:v>L05；S01/S02</x:v>
      </x:c>
    </x:row>
    <x:row r="111" ht="70" customHeight="1">
      <x:c r="A111" s="3" t="str">
        <x:v>N105</x:v>
      </x:c>
      <x:c r="B111" s="3" t="str">
        <x:v>p9 / 4.3 Proof</x:v>
      </x:c>
      <x:c r="C111" s="3" t="str">
        <x:v>候选torus的平均torsion逆范数上界</x:v>
      </x:c>
      <x:c r="D111" s="3" t="str">
        <x:v>80526</x:v>
      </x:c>
      <x:c r="E111" s="3" t="str">
        <x:v>无量纲矩阵范数</x:v>
      </x:c>
      <x:c r="F111" s="3" t="str">
        <x:v>数值认证</x:v>
      </x:c>
      <x:c r="G111" s="3" t="str">
        <x:v>原基准认证声称；已取得补充材料，未逐项独立复验</x:v>
      </x:c>
      <x:c r="H111" s="3" t="str">
        <x:v>与原点twist逆范数不同对象，不能直接把两者比较判错；需范数与2π规范一致</x:v>
      </x:c>
      <x:c r="I111" s="3" t="str">
        <x:v>§4.3；Haro–Luque H4的结构定义；Supplement S4.3 本轮定位：S03/S04，sections/unified_kam.tex（固定commit）。</x:v>
      </x:c>
      <x:c r="J111" s="3" t="str">
        <x:v>更换物理参数或有限元质量矩阵后，须重新生成并验证对应区间证书；旧界不移植。</x:v>
      </x:c>
      <x:c r="K111" s="3" t="str">
        <x:v>L05；S01/S02</x:v>
      </x:c>
    </x:row>
    <x:row r="112" ht="85" customHeight="1">
      <x:c r="A112" s="3" t="str">
        <x:v>N106</x:v>
      </x:c>
      <x:c r="B112" s="3" t="str">
        <x:v>p9 / 4.3 Proof</x:v>
      </x:c>
      <x:c r="C112" s="3" t="str">
        <x:v>允许不变性残差的后验阈值</x:v>
      </x:c>
      <x:c r="D112" s="3" t="str">
        <x:v>&gt;8.6086×10^-76</x:v>
      </x:c>
      <x:c r="E112" s="3" t="str">
        <x:v>与残差相同的无量纲单位</x:v>
      </x:c>
      <x:c r="F112" s="3" t="str">
        <x:v>数值认证</x:v>
      </x:c>
      <x:c r="G112" s="3" t="str">
        <x:v>原基准认证声称；已取得补充材料，未逐项独立复验</x:v>
      </x:c>
      <x:c r="H112" s="3" t="str">
        <x:v>Haro–Luque门槛形式C1||E||/(gamma^4 rho^(4tau))&lt;1；正文缺C1等无法独立复算阈值</x:v>
      </x:c>
      <x:c r="I112" s="3" t="str">
        <x:v>§4.3；Supplement S4.3；Haro–Luque Theorem 3.1和v1 Appendix B通用常数公式 本轮定位：S03/S04，sections/unified_kam.tex（固定commit）。</x:v>
      </x:c>
      <x:c r="J112" s="3" t="str">
        <x:v>更换物理参数或有限元质量矩阵后，须重新生成并验证对应区间证书；旧界不移植。</x:v>
      </x:c>
      <x:c r="K112" s="3" t="str"/>
    </x:row>
    <x:row r="113" ht="70" customHeight="1">
      <x:c r="A113" s="3" t="str">
        <x:v>N107</x:v>
      </x:c>
      <x:c r="B113" s="3" t="str">
        <x:v>p9 / 4.3 Proof</x:v>
      </x:c>
      <x:c r="C113" s="3" t="str">
        <x:v>KAM小量比值及通过门槛</x:v>
      </x:c>
      <x:c r="D113" s="3" t="str">
        <x:v>正文称&lt;0.031724&lt;1</x:v>
      </x:c>
      <x:c r="E113" s="3" t="str">
        <x:v>无量纲比值</x:v>
      </x:c>
      <x:c r="F113" s="11" t="str">
        <x:v>公式派生</x:v>
      </x:c>
      <x:c r="G113" s="3" t="str">
        <x:v>比值是作者证书输出；&lt;1来自定理门槛，0.031724不是外部常数</x:v>
      </x:c>
      <x:c r="H113" s="3" t="str">
        <x:v>显示边界直接相除为0.03172408986&lt;1；只能由显示值严格推出&lt;0.031725。更强&lt;0.031724需未舍入内部数，尾数差不影响通过判定</x:v>
      </x:c>
      <x:c r="I113" s="3" t="str">
        <x:v>残差2.7310e-77、阈值8.6086e-76；Haro–Luque Theorem 3.1 本轮定位：S03/S04，sections/unified_kam.tex（固定commit）。</x:v>
      </x:c>
      <x:c r="J113" s="3" t="str">
        <x:v>内部未舍入残差、阈值或直接比值的区间记录</x:v>
      </x:c>
      <x:c r="K113" s="3" t="str">
        <x:v>L05；S01/S02</x:v>
      </x:c>
    </x:row>
    <x:row r="114" ht="70" customHeight="1">
      <x:c r="A114" s="3" t="str">
        <x:v>N108</x:v>
      </x:c>
      <x:c r="B114" s="3" t="str">
        <x:v>p9 / 4.4</x:v>
      </x:c>
      <x:c r="C114" s="3" t="str">
        <x:v>精确环面的平均torsion逆范数上界</x:v>
      </x:c>
      <x:c r="D114" s="3" t="str">
        <x:v>≤2×10^5</x:v>
      </x:c>
      <x:c r="E114" s="3" t="str">
        <x:v>无量纲矩阵范数</x:v>
      </x:c>
      <x:c r="F114" s="3" t="str">
        <x:v>数值认证</x:v>
      </x:c>
      <x:c r="G114" s="3" t="str">
        <x:v>原基准认证声称；已取得补充材料，未逐项独立复验</x:v>
      </x:c>
      <x:c r="H114" s="3" t="str">
        <x:v>应由候选80526加小修正得到，数字大小无直接矛盾；正文无法复算传播</x:v>
      </x:c>
      <x:c r="I114" s="3" t="str">
        <x:v>§4.4；Supplement Corollary S8；后验迭代误差传播S4.3 本轮定位：S03/S04，sections/unified_kam.tex（固定commit）。</x:v>
      </x:c>
      <x:c r="J114" s="3" t="str">
        <x:v>更换物理参数或有限元质量矩阵后，须重新生成并验证对应区间证书；旧界不移植。</x:v>
      </x:c>
      <x:c r="K114" s="3" t="str"/>
    </x:row>
    <x:row r="115" ht="70" customHeight="1">
      <x:c r="A115" s="3" t="str">
        <x:v>N109</x:v>
      </x:c>
      <x:c r="B115" s="3" t="str">
        <x:v>p9 / 4.4 式(27)</x:v>
      </x:c>
      <x:c r="C115" s="3" t="str">
        <x:v>环面邻域正规形的二次系数惯例与余项阶</x:v>
      </x:c>
      <x:c r="D115" s="3" t="str">
        <x:v>1/2·I^T Abar I；O(|I|^3)</x:v>
      </x:c>
      <x:c r="E115" s="3" t="str">
        <x:v>数学阶数/系数</x:v>
      </x:c>
      <x:c r="F115" s="11" t="str">
        <x:v>公式派生</x:v>
      </x:c>
      <x:c r="G115" s="3" t="str">
        <x:v>Taylor/Hessian规范；不是工程输入</x:v>
      </x:c>
      <x:c r="H115" s="3" t="str">
        <x:v>Bounemoura原文用A(theta)I·I，本稿用1/2 Hessian，因子差不影响det≠0；平均torsion识别与同调解仍需S8</x:v>
      </x:c>
      <x:c r="I115" s="3" t="str">
        <x:v>式(27)；Supplement Corollary S8；Bounemoura(2016) Theorem 6 本轮定位：S03/S04，sections/unified_kam.tex（固定commit）。</x:v>
      </x:c>
      <x:c r="J115" s="3" t="str">
        <x:v>S8的解析辛管状坐标、同调解和Abar与torsion识别</x:v>
      </x:c>
      <x:c r="K115" s="3" t="str"/>
    </x:row>
    <x:row r="116" ht="70" customHeight="1">
      <x:c r="A116" s="3" t="str">
        <x:v>N110</x:v>
      </x:c>
      <x:c r="B116" s="3" t="str">
        <x:v>p9 / 4.4</x:v>
      </x:c>
      <x:c r="C116" s="3" t="str">
        <x:v>Bounemoura定理中的Gevrey正则性参数</x:v>
      </x:c>
      <x:c r="D116" s="3" t="str">
        <x:v>alpha=1</x:v>
      </x:c>
      <x:c r="E116" s="3" t="str">
        <x:v>正则性指数</x:v>
      </x:c>
      <x:c r="F116" s="3" t="str">
        <x:v>外部定理常数</x:v>
      </x:c>
      <x:c r="G116" s="3" t="str">
        <x:v>这是真正来自外部定理的参数含义：alpha=1对应实解析；应用者根据cos+多项式模型选取。不是物理阻尼alpha</x:v>
      </x:c>
      <x:c r="H116" s="3" t="str">
        <x:v>原文明确alpha=1为analytic；本模型解析性匹配；Theorem6不指定本模型的具体小量阈值</x:v>
      </x:c>
      <x:c r="I116" s="3" t="str">
        <x:v>Bounemoura (2016), Theorem 6, arXiv:1412.0509v1 §2第6段 本轮定位：S03/S04，sections/unified_kam.tex（固定commit）。</x:v>
      </x:c>
      <x:c r="J116" s="3" t="str">
        <x:v>无需另找材料参数文献；要应用仍需S8的解析域和非退化证书</x:v>
      </x:c>
      <x:c r="K116" s="3" t="str">
        <x:v>L06、L07</x:v>
      </x:c>
    </x:row>
    <x:row r="117" ht="55" customHeight="1">
      <x:c r="A117" s="3" t="str">
        <x:v>N111</x:v>
      </x:c>
      <x:c r="B117" s="3" t="str">
        <x:v>p9 / 4.4</x:v>
      </x:c>
      <x:c r="C117" s="3" t="str">
        <x:v>声称可适用同一环面族论证的Hamiltonian总数</x:v>
      </x:c>
      <x:c r="D117" s="3" t="str">
        <x:v>7</x:v>
      </x:c>
      <x:c r="E117" s="3" t="str">
        <x:v>个</x:v>
      </x:c>
      <x:c r="F117" s="3" t="str">
        <x:v>作者选择</x:v>
      </x:c>
      <x:c r="G117" s="3" t="str">
        <x:v>作者设定；可追溯至原稿/补充协议，非外部实测值</x:v>
      </x:c>
      <x:c r="H117" s="3" t="str">
        <x:v>正文没有逐一列出7个模型及证书，无法核对计数和逐模型适用性</x:v>
      </x:c>
      <x:c r="I117" s="3" t="str">
        <x:v>§4.4结尾；具体模型声称位于Supplement 本轮定位：S03/S04，sections/unified_kam.tex（固定commit）。</x:v>
      </x:c>
      <x:c r="J117" s="3" t="str">
        <x:v>Supplement中的7个精确模型、各自torus/torsion证书与索引</x:v>
      </x:c>
      <x:c r="K117" s="3" t="str"/>
    </x:row>
    <x:row r="118" ht="55" customHeight="1">
      <x:c r="A118" s="3" t="str">
        <x:v>N112</x:v>
      </x:c>
      <x:c r="B118" s="3" t="str">
        <x:v>p10 / 4.4</x:v>
      </x:c>
      <x:c r="C118" s="3" t="str">
        <x:v>有限时间诊断使用的行动变量区间</x:v>
      </x:c>
      <x:c r="D118" s="3" t="str">
        <x:v>I1,I2∈[0.0032,0.0072]</x:v>
      </x:c>
      <x:c r="E118" s="3" t="str">
        <x:v>无量纲行动</x:v>
      </x:c>
      <x:c r="F118" s="3" t="str">
        <x:v>作者选择</x:v>
      </x:c>
      <x:c r="G118" s="3" t="str">
        <x:v>作者设定；可追溯至原稿/补充协议，非外部实测值</x:v>
      </x:c>
      <x:c r="H118" s="3" t="str">
        <x:v>行动变量采样区间为原稿诊断设计；新平衡尺度改变后同一区间不代表同一物理幅值。</x:v>
      </x:c>
      <x:c r="I118" s="3" t="str">
        <x:v>§4.4；Supplement S5.6 本轮定位：S03/S04，sections/measure_numerical.tex（固定commit）。</x:v>
      </x:c>
      <x:c r="J118" s="3" t="str">
        <x:v>S5.6采样动机、随机种子、初始状态映射、与严格认证小管域的区别</x:v>
      </x:c>
      <x:c r="K118" s="3" t="str"/>
    </x:row>
    <x:row r="119" ht="55" customHeight="1">
      <x:c r="A119" s="3" t="str">
        <x:v>N113</x:v>
      </x:c>
      <x:c r="B119" s="3" t="str">
        <x:v>p10 / 4.4</x:v>
      </x:c>
      <x:c r="C119" s="3" t="str">
        <x:v>独立均匀采样的初始条件总数</x:v>
      </x:c>
      <x:c r="D119" s="3" t="str">
        <x:v>1024</x:v>
      </x:c>
      <x:c r="E119" s="3" t="str">
        <x:v>组</x:v>
      </x:c>
      <x:c r="F119" s="3" t="str">
        <x:v>作者选择</x:v>
      </x:c>
      <x:c r="G119" s="3" t="str">
        <x:v>作者设定；可追溯至原稿/补充协议，非外部实测值</x:v>
      </x:c>
      <x:c r="H119" s="3" t="str">
        <x:v>正文说actions和phases独立均匀，需采样代码验证；1024样本不能形成无限时证明</x:v>
      </x:c>
      <x:c r="I119" s="3" t="str">
        <x:v>§4.4；Supplement S5.6 本轮定位：S03/S04，sections/measure_numerical.tex（固定commit）。</x:v>
      </x:c>
      <x:c r="J119" s="3" t="str">
        <x:v>随机种子、所有采样行动/相位及代码</x:v>
      </x:c>
      <x:c r="K119" s="3" t="str"/>
    </x:row>
    <x:row r="120" ht="70" customHeight="1">
      <x:c r="A120" s="3" t="str">
        <x:v>N114</x:v>
      </x:c>
      <x:c r="B120" s="3" t="str">
        <x:v>p10 / 4.4</x:v>
      </x:c>
      <x:c r="C120" s="3" t="str">
        <x:v>通过有限时间准周期判据的样本计数</x:v>
      </x:c>
      <x:c r="D120" s="3" t="str">
        <x:v>1024/1024</x:v>
      </x:c>
      <x:c r="E120" s="3" t="str">
        <x:v>组/组</x:v>
      </x:c>
      <x:c r="F120" s="3" t="str">
        <x:v>仿真输出</x:v>
      </x:c>
      <x:c r="G120" s="3" t="str">
        <x:v>原基准计算输出；已定位补充说明，本轮未逐项重跑</x:v>
      </x:c>
      <x:c r="H120" s="3" t="str">
        <x:v>所有样本通过只说明该域、窗口、步长和判据下的结果；正文已正确限制其范围</x:v>
      </x:c>
      <x:c r="I120" s="3" t="str">
        <x:v>§4.4；Supplement S5.6；weighted Birkhoff方法 本轮定位：S03/S04，sections/measure_numerical.tex（固定commit）。</x:v>
      </x:c>
      <x:c r="J120" s="3" t="str">
        <x:v>采用新物理基准时须重生成轨迹、训练与对应输出；不能以文献引用替代运行。</x:v>
      </x:c>
      <x:c r="K120" s="3" t="str"/>
    </x:row>
    <x:row r="121" ht="55" customHeight="1">
      <x:c r="A121" s="3" t="str">
        <x:v>N115</x:v>
      </x:c>
      <x:c r="B121" s="3" t="str">
        <x:v>p10 / 4.4</x:v>
      </x:c>
      <x:c r="C121" s="3" t="str">
        <x:v>准周期诊断总积分时间</x:v>
      </x:c>
      <x:c r="D121" s="3" t="str">
        <x:v>8192</x:v>
      </x:c>
      <x:c r="E121" s="3" t="str">
        <x:v>无量纲时间τ</x:v>
      </x:c>
      <x:c r="F121" s="3" t="str">
        <x:v>作者选择</x:v>
      </x:c>
      <x:c r="G121" s="3" t="str">
        <x:v>作者设定；可追溯至原稿/补充协议，非外部实测值</x:v>
      </x:c>
      <x:c r="H121" s="3" t="str">
        <x:v>与步长1/64对应524288步；数值时间有限，不能直接验证无限时不变性</x:v>
      </x:c>
      <x:c r="I121" s="3" t="str">
        <x:v>§4.4；Supplement S5.6 本轮定位：S03/S04，sections/measure_numerical.tex（固定commit）。</x:v>
      </x:c>
      <x:c r="J121" s="3" t="str">
        <x:v>S5.6算法、总步数、是否含启动段及积分器设置</x:v>
      </x:c>
      <x:c r="K121" s="3" t="str"/>
    </x:row>
    <x:row r="122" ht="70" customHeight="1">
      <x:c r="A122" s="3" t="str">
        <x:v>N116</x:v>
      </x:c>
      <x:c r="B122" s="3" t="str">
        <x:v>p10 / 4.4</x:v>
      </x:c>
      <x:c r="C122" s="3" t="str">
        <x:v>总积分时间的物理换算</x:v>
      </x:c>
      <x:c r="D122" s="3" t="str">
        <x:v>717.5</x:v>
      </x:c>
      <x:c r="E122" s="3" t="str">
        <x:v>s</x:v>
      </x:c>
      <x:c r="F122" s="11" t="str">
        <x:v>公式派生</x:v>
      </x:c>
      <x:c r="G122" s="3" t="str">
        <x:v>由本模型ω0和作者设置的8192派生；不是另一独立测量参数</x:v>
      </x:c>
      <x:c r="H122" s="3" t="str">
        <x:v>8192/11.417287283=717.5084411 s，按一位小数为717.5，正确</x:v>
      </x:c>
      <x:c r="I122" s="3" t="str">
        <x:v>τ=ω0 t（式(3)周边）；ω0≈11.417287283 rad/s（§2.1）；§4.4 本轮定位：S03/S04，sections/measure_numerical.tex（固定commit）。</x:v>
      </x:c>
      <x:c r="J122" s="3" t="str">
        <x:v>精确ω0供更高精度复现；普通显示精度换算无需补材料</x:v>
      </x:c>
      <x:c r="K122" s="3" t="str"/>
    </x:row>
    <x:row r="123" ht="55" customHeight="1">
      <x:c r="A123" s="3" t="str">
        <x:v>N117</x:v>
      </x:c>
      <x:c r="B123" s="3" t="str">
        <x:v>p10 / 4.4</x:v>
      </x:c>
      <x:c r="C123" s="3" t="str">
        <x:v>准周期诊断积分步长</x:v>
      </x:c>
      <x:c r="D123" s="3" t="str">
        <x:v>1/64=0.015625</x:v>
      </x:c>
      <x:c r="E123" s="3" t="str">
        <x:v>无量纲时间τ</x:v>
      </x:c>
      <x:c r="F123" s="3" t="str">
        <x:v>作者选择</x:v>
      </x:c>
      <x:c r="G123" s="3" t="str">
        <x:v>作者设定；可追溯至原稿/补充协议，非外部实测值</x:v>
      </x:c>
      <x:c r="H123" s="3" t="str">
        <x:v>对应物理步长约0.001368538744 s；需用实际积分器/容差和refinement确认分类误差</x:v>
      </x:c>
      <x:c r="I123" s="3" t="str">
        <x:v>§4.4；Supplement S5.6 本轮定位：S03/S04，sections/measure_numerical.tex（固定commit）。</x:v>
      </x:c>
      <x:c r="J123" s="3" t="str">
        <x:v>S5.6具体积分器、隐式残差容差、步长细化及判据比较</x:v>
      </x:c>
      <x:c r="K123" s="3" t="str"/>
    </x:row>
    <x:row r="124" ht="85" customHeight="1">
      <x:c r="A124" s="3" t="str">
        <x:v>N118</x:v>
      </x:c>
      <x:c r="B124" s="3" t="str">
        <x:v>p10 / 4.4</x:v>
      </x:c>
      <x:c r="C124" s="3" t="str">
        <x:v>主要准周期诊断精度门槛</x:v>
      </x:c>
      <x:c r="D124" s="3" t="str">
        <x:v>8 位数字</x:v>
      </x:c>
      <x:c r="E124" s="3" t="str">
        <x:v>诊断数字数</x:v>
      </x:c>
      <x:c r="F124" s="3" t="str">
        <x:v>作者选择</x:v>
      </x:c>
      <x:c r="G124" s="3" t="str">
        <x:v>作者设定；可追溯至原稿/补充协议，非外部实测值</x:v>
      </x:c>
      <x:c r="H124" s="3" t="str">
        <x:v>8位是数值诊断门槛；须和6/10位及窗口/步长变化一起报告，不能当无限时证明。</x:v>
      </x:c>
      <x:c r="I124" s="3" t="str">
        <x:v>§4.4；Supplement S5.6；方法参考Das et al. (2017)、Duignan–Meiss (2023) 本轮定位：S03/S04，sections/measure_numerical.tex（固定commit）。</x:v>
      </x:c>
      <x:c r="J124" s="3" t="str">
        <x:v>S5.6判据公式、观测函数、数值噪声底和分类阈值依据</x:v>
      </x:c>
      <x:c r="K124" s="3" t="str"/>
    </x:row>
    <x:row r="125" ht="55" customHeight="1">
      <x:c r="A125" s="3" t="str">
        <x:v>N119</x:v>
      </x:c>
      <x:c r="B125" s="3" t="str">
        <x:v>p10 / 4.4</x:v>
      </x:c>
      <x:c r="C125" s="3" t="str">
        <x:v>连续诊断窗口长度</x:v>
      </x:c>
      <x:c r="D125" s="3" t="str">
        <x:v>2048；4096</x:v>
      </x:c>
      <x:c r="E125" s="3" t="str">
        <x:v>无量纲时间τ</x:v>
      </x:c>
      <x:c r="F125" s="3" t="str">
        <x:v>作者选择</x:v>
      </x:c>
      <x:c r="G125" s="3" t="str">
        <x:v>作者设定；可追溯至原稿/补充协议，非外部实测值</x:v>
      </x:c>
      <x:c r="H125" s="3" t="str">
        <x:v>分别可对应131072和262144个1/64步长区间；两种长度是否各成连续窗口需S5.6确认</x:v>
      </x:c>
      <x:c r="I125" s="3" t="str">
        <x:v>§4.4；Supplement S5.6 本轮定位：S03/S04，sections/measure_numerical.tex（固定commit）。</x:v>
      </x:c>
      <x:c r="J125" s="3" t="str">
        <x:v>窗口起止、权函数、逐窗口输出和积分步映射</x:v>
      </x:c>
      <x:c r="K125" s="3" t="str"/>
    </x:row>
    <x:row r="126" ht="55" customHeight="1">
      <x:c r="A126" s="3" t="str">
        <x:v>N120</x:v>
      </x:c>
      <x:c r="B126" s="3" t="str">
        <x:v>p10 / 4.4</x:v>
      </x:c>
      <x:c r="C126" s="3" t="str">
        <x:v>敏感性/精度复核门槛</x:v>
      </x:c>
      <x:c r="D126" s="3" t="str">
        <x:v>6 位；10 位</x:v>
      </x:c>
      <x:c r="E126" s="3" t="str">
        <x:v>诊断数字数</x:v>
      </x:c>
      <x:c r="F126" s="3" t="str">
        <x:v>作者选择</x:v>
      </x:c>
      <x:c r="G126" s="3" t="str">
        <x:v>作者设定；可追溯至原稿/补充协议，非外部实测值</x:v>
      </x:c>
      <x:c r="H126" s="3" t="str">
        <x:v>正文声称结论一致，不能由主文独立核验</x:v>
      </x:c>
      <x:c r="I126" s="3" t="str">
        <x:v>§4.4；Supplement S5.6 本轮定位：S03/S04，sections/measure_numerical.tex（固定commit）。</x:v>
      </x:c>
      <x:c r="J126" s="3" t="str">
        <x:v>6/8/10位逐样本结果、步长/窗口精化记录</x:v>
      </x:c>
      <x:c r="K126" s="3" t="str"/>
    </x:row>
    <x:row r="127" ht="70" customHeight="1">
      <x:c r="A127" s="3" t="str">
        <x:v>N121</x:v>
      </x:c>
      <x:c r="B127" s="3" t="str">
        <x:v>p10 / 4.4</x:v>
      </x:c>
      <x:c r="C127" s="3" t="str">
        <x:v>完整物理模型状态维数</x:v>
      </x:c>
      <x:c r="D127" s="3" t="str">
        <x:v>128</x:v>
      </x:c>
      <x:c r="E127" s="3" t="str">
        <x:v>维</x:v>
      </x:c>
      <x:c r="F127" s="11" t="str">
        <x:v>公式派生</x:v>
      </x:c>
      <x:c r="G127" s="3" t="str">
        <x:v>由64个位置+64个速度派生；不是测量或文献经验值</x:v>
      </x:c>
      <x:c r="H127" s="3" t="str">
        <x:v>64×2=128；两模态KAM族的正测度只在4维低模态子系统，不能当128维相体积正测度；正文有正确区分</x:v>
      </x:c>
      <x:c r="I127" s="3" t="str">
        <x:v>§4.4；§2.1的64个自由有限元坐标/64模态 本轮定位：S03/S04，sections/full_fe_kam_control.tex（固定commit）。</x:v>
      </x:c>
      <x:c r="J127" s="3" t="str">
        <x:v>完整64模态状态定义与低模态提升映射，若要核查实现</x:v>
      </x:c>
      <x:c r="K127" s="3" t="str"/>
    </x:row>
    <x:row r="128" ht="100" customHeight="1">
      <x:c r="A128" s="3" t="str">
        <x:v>N122</x:v>
      </x:c>
      <x:c r="B128" s="3" t="str">
        <x:v>p10 / 5.1</x:v>
      </x:c>
      <x:c r="C128" s="3" t="str">
        <x:v>完整有限元模态数</x:v>
      </x:c>
      <x:c r="D128" s="3" t="str">
        <x:v>64</x:v>
      </x:c>
      <x:c r="E128" s="3" t="str">
        <x:v>模态</x:v>
      </x:c>
      <x:c r="F128" s="3" t="str">
        <x:v>作者选择</x:v>
      </x:c>
      <x:c r="G128" s="3" t="str">
        <x:v>作者设定；可追溯至原稿/补充协议，非外部实测值</x:v>
      </x:c>
      <x:c r="H128" s="3" t="str">
        <x:v>64个二阶模态对应128维一阶状态；计数内部一致。</x:v>
      </x:c>
      <x:c r="I128" s="3" t="str">
        <x:v>正文§5.1；Supplement S6.1（完整模态系数与有限元装配关系）；离散来源见§2.1的32个cubic-Hermite单元、夹持后64自由度。 本轮定位：S03/S04，sections/full_fe_kam_control.tex（固定commit）。</x:v>
      </x:c>
      <x:c r="J128" s="3" t="str">
        <x:v>用研究目的、敏感性/收敛比较支持此设置；其数值不需伪装为材料或器件实测值。</x:v>
      </x:c>
      <x:c r="K128" s="3" t="str"/>
    </x:row>
    <x:row r="129" ht="85" customHeight="1">
      <x:c r="A129" s="3" t="str">
        <x:v>N123</x:v>
      </x:c>
      <x:c r="B129" s="3" t="str">
        <x:v>p10 / 5.1</x:v>
      </x:c>
      <x:c r="C129" s="3" t="str">
        <x:v>精确重现的低模态数</x:v>
      </x:c>
      <x:c r="D129" s="3" t="str">
        <x:v>2</x:v>
      </x:c>
      <x:c r="E129" s="3" t="str">
        <x:v>模态</x:v>
      </x:c>
      <x:c r="F129" s="3" t="str">
        <x:v>作者选择</x:v>
      </x:c>
      <x:c r="G129" s="3" t="str">
        <x:v>作者设定；可追溯至原稿/补充协议，非外部实测值</x:v>
      </x:c>
      <x:c r="H129" s="3" t="str">
        <x:v>两个独立端口F、U对应两项低模态加速度；不能据此任意指定64模态。</x:v>
      </x:c>
      <x:c r="I129" s="3" t="str">
        <x:v>正文§5.1；Supplement S6.1（完整模态系数与有限元装配关系）；式(29)使用2×2的A_mag。 本轮定位：S03/S04，sections/full_fe_kam_control.tex（固定commit）。</x:v>
      </x:c>
      <x:c r="J129" s="3" t="str">
        <x:v>用研究目的、敏感性/收敛比较支持此设置；其数值不需伪装为材料或器件实测值。</x:v>
      </x:c>
      <x:c r="K129" s="3" t="str"/>
    </x:row>
    <x:row r="130" ht="85" customHeight="1">
      <x:c r="A130" s="3" t="str">
        <x:v>N124</x:v>
      </x:c>
      <x:c r="B130" s="3" t="str">
        <x:v>p11 / 5.1</x:v>
      </x:c>
      <x:c r="C130" s="3" t="str">
        <x:v>受迫响应估计所含高模态数</x:v>
      </x:c>
      <x:c r="D130" s="3" t="str">
        <x:v>62</x:v>
      </x:c>
      <x:c r="E130" s="3" t="str">
        <x:v>模态</x:v>
      </x:c>
      <x:c r="F130" s="11" t="str">
        <x:v>公式派生</x:v>
      </x:c>
      <x:c r="G130" s="3" t="str">
        <x:v>由完整64模态减去2个低模态得到。</x:v>
      </x:c>
      <x:c r="H130" s="3" t="str">
        <x:v>64−2=62，正确。</x:v>
      </x:c>
      <x:c r="I130" s="3" t="str">
        <x:v>正文§5.1、Table 5；Supplement S6.2（全部高模态、非线性余项与startup界） 本轮定位：S03/S04，sections/full_fe_kam_control.tex（固定commit）。</x:v>
      </x:c>
      <x:c r="J130" s="3" t="str">
        <x:v>为复核各模态贡献仍需S6.2完整系数与求和界。</x:v>
      </x:c>
      <x:c r="K130" s="3" t="str"/>
    </x:row>
    <x:row r="131" ht="70" customHeight="1">
      <x:c r="A131" s="3" t="str">
        <x:v>N125</x:v>
      </x:c>
      <x:c r="B131" s="3" t="str">
        <x:v>p10 / 5.1 / Theorem 3</x:v>
      </x:c>
      <x:c r="C131" s="3" t="str">
        <x:v>磁命令无奇异的端部角度域</x:v>
      </x:c>
      <x:c r="D131" s="3" t="str">
        <x:v>|ϑ| &lt; π/2</x:v>
      </x:c>
      <x:c r="E131" s="3" t="str">
        <x:v>rad</x:v>
      </x:c>
      <x:c r="F131" s="11" t="str">
        <x:v>公式派生</x:v>
      </x:c>
      <x:c r="G131" s="3" t="str">
        <x:v>来自磁力矩反解的数学条件；不是器件数据。</x:v>
      </x:c>
      <x:c r="H131" s="3" t="str">
        <x:v>该域cosϑ&gt;0；结合后文0.155261rad界可闭合。</x:v>
      </x:c>
      <x:c r="I131" s="3" t="str">
        <x:v>式(30)分母μ cosϑ；Theorem 3显式假设。 本轮定位：S03/S04，sections/full_fe_kam_control.tex（固定commit）。</x:v>
      </x:c>
      <x:c r="J131" s="3" t="str">
        <x:v>验证实际轨迹始终在域内需S6.2；实际执行器能力需另提供硬件权限。</x:v>
      </x:c>
      <x:c r="K131" s="3" t="str"/>
    </x:row>
    <x:row r="132" ht="85" customHeight="1">
      <x:c r="A132" s="3" t="str">
        <x:v>N126</x:v>
      </x:c>
      <x:c r="B132" s="3" t="str">
        <x:v>p11 / 5.1</x:v>
      </x:c>
      <x:c r="C132" s="3" t="str">
        <x:v>提升后环面的物理角频率</x:v>
      </x:c>
      <x:c r="D132" s="3" t="str">
        <x:v>(11.41719351, 70.24034116)</x:v>
      </x:c>
      <x:c r="E132" s="3" t="str">
        <x:v>rad/s</x:v>
      </x:c>
      <x:c r="F132" s="3" t="str">
        <x:v>数值认证</x:v>
      </x:c>
      <x:c r="G132" s="3" t="str">
        <x:v>原基准认证声称；已取得补充材料，未逐项独立复验</x:v>
      </x:c>
      <x:c r="H132" s="3" t="str">
        <x:v>2π因子与period-one torus角度/Fourier convention相容；缺精确ϖ无法逐位复算。</x:v>
      </x:c>
      <x:c r="I132" s="3" t="str">
        <x:v>正文§5.1给出近似值；Theorem 3有Ω=2πω0ϖ；精确ϖ定义由§4.3指向Supplement Eqs. (S68)–(S69)。 本轮定位：S03/S04，sections/full_fe_kam_control.tex（固定commit）。</x:v>
      </x:c>
      <x:c r="J132" s="3" t="str">
        <x:v>更换物理参数或有限元质量矩阵后，须重新生成并验证对应区间证书；旧界不移植。</x:v>
      </x:c>
      <x:c r="K132" s="3" t="str"/>
    </x:row>
    <x:row r="133" ht="85" customHeight="1">
      <x:c r="A133" s="3" t="str">
        <x:v>N127</x:v>
      </x:c>
      <x:c r="B133" s="3" t="str">
        <x:v>p11 / 5.1</x:v>
      </x:c>
      <x:c r="C133" s="3" t="str">
        <x:v>h_YY区间矩阵下界</x:v>
      </x:c>
      <x:c r="D133" s="3" t="str">
        <x:v>h_YY ⪰ 0.9999999983 I</x:v>
      </x:c>
      <x:c r="E133" s="3" t="str">
        <x:v>无量纲</x:v>
      </x:c>
      <x:c r="F133" s="3" t="str">
        <x:v>数值认证</x:v>
      </x:c>
      <x:c r="G133" s="3" t="str">
        <x:v>原基准认证声称；已取得补充材料，未逐项独立复验</x:v>
      </x:c>
      <x:c r="H133" s="3" t="str">
        <x:v>正下界足够保证动量—速度局部可逆；数值本身依赖未提供的全部动量四次项系数。</x:v>
      </x:c>
      <x:c r="I133" s="3" t="str">
        <x:v>正文§5.1声称interval bounds；相邻资料指向S6.2；Hamiltonian系数在S4.5。 本轮定位：S03/S04，sections/full_fe_kam_control.tex（固定commit）。</x:v>
      </x:c>
      <x:c r="J133" s="3" t="str">
        <x:v>更换物理参数或有限元质量矩阵后，须重新生成并验证对应区间证书；旧界不移植。</x:v>
      </x:c>
      <x:c r="K133" s="3" t="str"/>
    </x:row>
    <x:row r="134" ht="55" customHeight="1">
      <x:c r="A134" s="3" t="str">
        <x:v>N128</x:v>
      </x:c>
      <x:c r="B134" s="3" t="str">
        <x:v>p11 / 5.1</x:v>
      </x:c>
      <x:c r="C134" s="3" t="str">
        <x:v>验证h_YY的实状态box半宽</x:v>
      </x:c>
      <x:c r="D134" s="3" t="str">
        <x:v>0.3</x:v>
      </x:c>
      <x:c r="E134" s="3" t="str">
        <x:v>无量纲坐标</x:v>
      </x:c>
      <x:c r="F134" s="3" t="str">
        <x:v>作者选择</x:v>
      </x:c>
      <x:c r="G134" s="3" t="str">
        <x:v>作者设定；可追溯至原稿/补充协议，非外部实测值</x:v>
      </x:c>
      <x:c r="H134" s="3" t="str">
        <x:v>应理解为各规范坐标|x_i|≤0.3；本值为证明域选择，不是物理初始化误差。</x:v>
      </x:c>
      <x:c r="I134" s="3" t="str">
        <x:v>正文§5.1的real 0.3 box。 本轮定位：S03/S04，sections/full_fe_kam_control.tex（固定commit）。</x:v>
      </x:c>
      <x:c r="J134" s="3" t="str">
        <x:v>用研究目的、敏感性/收敛比较支持此设置；其数值不需伪装为材料或器件实测值。</x:v>
      </x:c>
      <x:c r="K134" s="3" t="str"/>
    </x:row>
    <x:row r="135" ht="70" customHeight="1">
      <x:c r="A135" s="3" t="str">
        <x:v>N129</x:v>
      </x:c>
      <x:c r="B135" s="3" t="str">
        <x:v>p11 / 5.1 / Table 5</x:v>
      </x:c>
      <x:c r="C135" s="3" t="str">
        <x:v>startup初态的高模态位置和速度</x:v>
      </x:c>
      <x:c r="D135" s="3" t="str">
        <x:v>a_j(0)=v_j(0)=0, j≥3</x:v>
      </x:c>
      <x:c r="E135" s="3" t="str">
        <x:v>相应模态单位</x:v>
      </x:c>
      <x:c r="F135" s="3" t="str">
        <x:v>作者选择</x:v>
      </x:c>
      <x:c r="G135" s="3" t="str">
        <x:v>作者设定；可追溯至原稿/补充协议，非外部实测值</x:v>
      </x:c>
      <x:c r="H135" s="3" t="str">
        <x:v>全时间startup界仅适用于该初态类；不能当作任意64模态初值界。</x:v>
      </x:c>
      <x:c r="I135" s="3" t="str">
        <x:v>Table 5标题、§5.1及Figure 1标题。 本轮定位：S03/S04，sections/full_fe_kam_control.tex（固定commit）。</x:v>
      </x:c>
      <x:c r="J135" s="3" t="str">
        <x:v>用研究目的、敏感性/收敛比较支持此设置；其数值不需伪装为材料或器件实测值。</x:v>
      </x:c>
      <x:c r="K135" s="3" t="str"/>
    </x:row>
    <x:row r="136" ht="85" customHeight="1">
      <x:c r="A136" s="3" t="str">
        <x:v>N130</x:v>
      </x:c>
      <x:c r="B136" s="3" t="str">
        <x:v>p11 / Table 5</x:v>
      </x:c>
      <x:c r="C136" s="3" t="str">
        <x:v>response graph上的全中心线位移上界</x:v>
      </x:c>
      <x:c r="D136" s="3" t="str">
        <x:v>1.922696</x:v>
      </x:c>
      <x:c r="E136" s="3" t="str">
        <x:v>mm</x:v>
      </x:c>
      <x:c r="F136" s="3" t="str">
        <x:v>数值认证</x:v>
      </x:c>
      <x:c r="G136" s="3" t="str">
        <x:v>原基准认证声称；已取得补充材料，未逐项独立复验</x:v>
      </x:c>
      <x:c r="H136" s="3" t="str">
        <x:v>高于低模态界1.8977962mm，差0.0248998mm；数量级相容，不能据此验证证书。</x:v>
      </x:c>
      <x:c r="I136" s="3" t="str">
        <x:v>正文§5.1、Table 5；Supplement S6.2（全部高模态、非线性余项与startup界） 本轮定位：S03/S04，sections/full_fe_kam_control.tex（固定commit）。</x:v>
      </x:c>
      <x:c r="J136" s="3" t="str">
        <x:v>更换物理参数或有限元质量矩阵后，须重新生成并验证对应区间证书；旧界不移植。</x:v>
      </x:c>
      <x:c r="K136" s="3" t="str"/>
    </x:row>
    <x:row r="137" ht="85" customHeight="1">
      <x:c r="A137" s="3" t="str">
        <x:v>N131</x:v>
      </x:c>
      <x:c r="B137" s="3" t="str">
        <x:v>p11 / Table 5</x:v>
      </x:c>
      <x:c r="C137" s="3" t="str">
        <x:v>包含startup的全中心线位移上界</x:v>
      </x:c>
      <x:c r="D137" s="3" t="str">
        <x:v>1.970263</x:v>
      </x:c>
      <x:c r="E137" s="3" t="str">
        <x:v>mm</x:v>
      </x:c>
      <x:c r="F137" s="3" t="str">
        <x:v>数值认证</x:v>
      </x:c>
      <x:c r="G137" s="3" t="str">
        <x:v>原基准认证声称；已取得补充材料，未逐项独立复验</x:v>
      </x:c>
      <x:c r="H137" s="3" t="str">
        <x:v>比response graph界大0.047567mm，包含瞬态的方向合理。</x:v>
      </x:c>
      <x:c r="I137" s="3" t="str">
        <x:v>正文§5.1、Table 5；Supplement S6.2（全部高模态、非线性余项与startup界） 本轮定位：S03/S04，sections/full_fe_kam_control.tex（固定commit）。</x:v>
      </x:c>
      <x:c r="J137" s="3" t="str">
        <x:v>更换物理参数或有限元质量矩阵后，须重新生成并验证对应区间证书；旧界不移植。</x:v>
      </x:c>
      <x:c r="K137" s="3" t="str"/>
    </x:row>
    <x:row r="138" ht="85" customHeight="1">
      <x:c r="A138" s="3" t="str">
        <x:v>N132</x:v>
      </x:c>
      <x:c r="B138" s="3" t="str">
        <x:v>p11 / Table 5</x:v>
      </x:c>
      <x:c r="C138" s="3" t="str">
        <x:v>包含startup的横向磁场上界</x:v>
      </x:c>
      <x:c r="D138" s="3" t="str">
        <x:v>0.921665</x:v>
      </x:c>
      <x:c r="E138" s="3" t="str">
        <x:v>mT</x:v>
      </x:c>
      <x:c r="F138" s="3" t="str">
        <x:v>数值认证</x:v>
      </x:c>
      <x:c r="G138" s="3" t="str">
        <x:v>原基准认证声称；已取得补充材料，未逐项独立复验</x:v>
      </x:c>
      <x:c r="H138" s="3" t="str">
        <x:v>这是控制律需求的上界，不是已证明某型号硬件可以提供的规格。</x:v>
      </x:c>
      <x:c r="I138" s="3" t="str">
        <x:v>正文§5.1、Table 5；Supplement S6.2（全部高模态、非线性余项与startup界） 本轮定位：S03/S04，sections/full_fe_kam_control.tex（固定commit）。</x:v>
      </x:c>
      <x:c r="J138" s="3" t="str">
        <x:v>更换物理参数或有限元质量矩阵后，须重新生成并验证对应区间证书；旧界不移植。</x:v>
      </x:c>
      <x:c r="K138" s="3" t="str"/>
    </x:row>
    <x:row r="139" ht="85" customHeight="1">
      <x:c r="A139" s="3" t="str">
        <x:v>N133</x:v>
      </x:c>
      <x:c r="B139" s="3" t="str">
        <x:v>p11 / Table 5</x:v>
      </x:c>
      <x:c r="C139" s="3" t="str">
        <x:v>包含startup的梯度谱范数上界</x:v>
      </x:c>
      <x:c r="D139" s="3" t="str">
        <x:v>0.02572538</x:v>
      </x:c>
      <x:c r="E139" s="3" t="str">
        <x:v>T/m</x:v>
      </x:c>
      <x:c r="F139" s="3" t="str">
        <x:v>数值认证</x:v>
      </x:c>
      <x:c r="G139" s="3" t="str">
        <x:v>原基准认证声称；已取得补充材料，未逐项独立复验</x:v>
      </x:c>
      <x:c r="H139" s="3" t="str">
        <x:v>∥G∥₂=|F|/μ的公式正确；没有μ与F界无法复算数值。</x:v>
      </x:c>
      <x:c r="I139" s="3" t="str">
        <x:v>正文§5.1、Table 5；Supplement S6.2（全部高模态、非线性余项与startup界） 本轮定位：S03/S04，sections/full_fe_kam_control.tex（固定commit）。</x:v>
      </x:c>
      <x:c r="J139" s="3" t="str">
        <x:v>更换物理参数或有限元质量矩阵后，须重新生成并验证对应区间证书；旧界不移植。</x:v>
      </x:c>
      <x:c r="K139" s="3" t="str"/>
    </x:row>
    <x:row r="140" ht="85" customHeight="1">
      <x:c r="A140" s="3" t="str">
        <x:v>N134</x:v>
      </x:c>
      <x:c r="B140" s="3" t="str">
        <x:v>p11 / 5.1</x:v>
      </x:c>
      <x:c r="C140" s="3" t="str">
        <x:v>全相位全时间的坡度/转角上界</x:v>
      </x:c>
      <x:c r="D140" s="3" t="str">
        <x:v>0.155261</x:v>
      </x:c>
      <x:c r="E140" s="3" t="str">
        <x:v>rad</x:v>
      </x:c>
      <x:c r="F140" s="3" t="str">
        <x:v>数值认证</x:v>
      </x:c>
      <x:c r="G140" s="3" t="str">
        <x:v>原基准认证声称；已取得补充材料，未逐项独立复验</x:v>
      </x:c>
      <x:c r="H140" s="3" t="str">
        <x:v>低于π/2，足以支持式(30)不奇异；本上界的区间计算尚缺。</x:v>
      </x:c>
      <x:c r="I140" s="3" t="str">
        <x:v>正文§5.1、Table 5；Supplement S6.2（全部高模态、非线性余项与startup界） 本轮定位：S03/S04，sections/full_fe_kam_control.tex（固定commit）。</x:v>
      </x:c>
      <x:c r="J140" s="3" t="str">
        <x:v>更换物理参数或有限元质量矩阵后，须重新生成并验证对应区间证书；旧界不移植。</x:v>
      </x:c>
      <x:c r="K140" s="3" t="str"/>
    </x:row>
    <x:row r="141" ht="55" customHeight="1">
      <x:c r="A141" s="3" t="str">
        <x:v>N135</x:v>
      </x:c>
      <x:c r="B141" s="3" t="str">
        <x:v>p11 / 5.1</x:v>
      </x:c>
      <x:c r="C141" s="3" t="str">
        <x:v>余弦下界</x:v>
      </x:c>
      <x:c r="D141" s="3" t="str">
        <x:v>cosϑ &gt; 0.987971</x:v>
      </x:c>
      <x:c r="E141" s="3" t="str">
        <x:v>无量纲</x:v>
      </x:c>
      <x:c r="F141" s="11" t="str">
        <x:v>公式派生</x:v>
      </x:c>
      <x:c r="G141" s="3" t="str">
        <x:v>由前一认证角度界派生，非文献输入。</x:v>
      </x:c>
      <x:c r="H141" s="3" t="str">
        <x:v>cos(0.155261)=0.9879712039166，显示下界向外取整正确。</x:v>
      </x:c>
      <x:c r="I141" s="3" t="str">
        <x:v>正文§5.1由|ϑ|&lt;0.155261导出。 本轮定位：S03/S04，sections/full_fe_kam_control.tex（固定commit）。</x:v>
      </x:c>
      <x:c r="J141" s="3" t="str">
        <x:v>前提角度界本身的S6.2证书。</x:v>
      </x:c>
      <x:c r="K141" s="3" t="str"/>
    </x:row>
    <x:row r="142" ht="55" customHeight="1">
      <x:c r="A142" s="3" t="str">
        <x:v>N136</x:v>
      </x:c>
      <x:c r="B142" s="3" t="str">
        <x:v>p11 / 5.1</x:v>
      </x:c>
      <x:c r="C142" s="3" t="str">
        <x:v>完整状态实现的比较时长</x:v>
      </x:c>
      <x:c r="D142" s="3" t="str">
        <x:v>12</x:v>
      </x:c>
      <x:c r="E142" s="3" t="str">
        <x:v>s</x:v>
      </x:c>
      <x:c r="F142" s="3" t="str">
        <x:v>作者选择</x:v>
      </x:c>
      <x:c r="G142" s="3" t="str">
        <x:v>作者设定；可追溯至原稿/补充协议，非外部实测值</x:v>
      </x:c>
      <x:c r="H142" s="3" t="str">
        <x:v>只是有限时间实现检查，不是全时间界的证明时长。</x:v>
      </x:c>
      <x:c r="I142" s="3" t="str">
        <x:v>正文§5.1与Figure 1(b)。 本轮定位：S03/S04，sections/full_fe_kam_control.tex（固定commit）。</x:v>
      </x:c>
      <x:c r="J142" s="3" t="str">
        <x:v>用研究目的、敏感性/收敛比较支持此设置；其数值不需伪装为材料或器件实测值。</x:v>
      </x:c>
      <x:c r="K142" s="3" t="str"/>
    </x:row>
    <x:row r="143" ht="70" customHeight="1">
      <x:c r="A143" s="3" t="str">
        <x:v>N137</x:v>
      </x:c>
      <x:c r="B143" s="3" t="str">
        <x:v>p11 / 5.1</x:v>
      </x:c>
      <x:c r="C143" s="3" t="str">
        <x:v>低模态与独立Hamiltonian积分的最大状态差</x:v>
      </x:c>
      <x:c r="D143" s="3" t="str">
        <x:v>1.54 × 10⁻¹⁰</x:v>
      </x:c>
      <x:c r="E143" s="3" t="str">
        <x:v>无量纲正则坐标</x:v>
      </x:c>
      <x:c r="F143" s="3" t="str">
        <x:v>仿真输出</x:v>
      </x:c>
      <x:c r="G143" s="3" t="str">
        <x:v>原基准计算输出；已定位补充说明，本轮未逐项重跑</x:v>
      </x:c>
      <x:c r="H143" s="3" t="str">
        <x:v>正文未明确使用分量最大范数还是向量范数；不能从曲线重构此值。</x:v>
      </x:c>
      <x:c r="I143" s="3" t="str">
        <x:v>正文§5.1；后句指向S6.1的完整refinement study。 本轮定位：S03/S04，sections/full_fe_kam_control.tex（固定commit）。</x:v>
      </x:c>
      <x:c r="J143" s="3" t="str">
        <x:v>采用新物理基准时须重生成轨迹、训练与对应输出；不能以文献引用替代运行。</x:v>
      </x:c>
      <x:c r="K143" s="3" t="str"/>
    </x:row>
    <x:row r="144" ht="55" customHeight="1">
      <x:c r="A144" s="3" t="str">
        <x:v>N138</x:v>
      </x:c>
      <x:c r="B144" s="3" t="str">
        <x:v>p11 / 5.1</x:v>
      </x:c>
      <x:c r="C144" s="3" t="str">
        <x:v>online COMSOL固定步长细化端点</x:v>
      </x:c>
      <x:c r="D144" s="3" t="str">
        <x:v>1 → 0.125</x:v>
      </x:c>
      <x:c r="E144" s="3" t="str">
        <x:v>ms</x:v>
      </x:c>
      <x:c r="F144" s="3" t="str">
        <x:v>作者选择</x:v>
      </x:c>
      <x:c r="G144" s="3" t="str">
        <x:v>作者设定；可追溯至原稿/补充协议，非外部实测值</x:v>
      </x:c>
      <x:c r="H144" s="3" t="str">
        <x:v>终点步长为起点的1/8；中间细化层级正文未列。</x:v>
      </x:c>
      <x:c r="I144" s="3" t="str">
        <x:v>正文§5.1；Supplement S6.1。 本轮定位：S03/S04，sections/full_fe_kam_control.tex（固定commit）。</x:v>
      </x:c>
      <x:c r="J144" s="3" t="str">
        <x:v>用研究目的、敏感性/收敛比较支持此设置；其数值不需伪装为材料或器件实测值。</x:v>
      </x:c>
      <x:c r="K144" s="3" t="str"/>
    </x:row>
    <x:row r="145" ht="55" customHeight="1">
      <x:c r="A145" s="3" t="str">
        <x:v>N139</x:v>
      </x:c>
      <x:c r="B145" s="3" t="str">
        <x:v>p11 / 5.1</x:v>
      </x:c>
      <x:c r="C145" s="3" t="str">
        <x:v>online COMSOL误差比较时间窗</x:v>
      </x:c>
      <x:c r="D145" s="3" t="str">
        <x:v>4</x:v>
      </x:c>
      <x:c r="E145" s="3" t="str">
        <x:v>s</x:v>
      </x:c>
      <x:c r="F145" s="3" t="str">
        <x:v>作者选择</x:v>
      </x:c>
      <x:c r="G145" s="3" t="str">
        <x:v>作者设定；可追溯至原稿/补充协议，非外部实测值</x:v>
      </x:c>
      <x:c r="H145" s="3" t="str">
        <x:v>与Figure 1的12s比较是不同检查窗口。</x:v>
      </x:c>
      <x:c r="I145" s="3" t="str">
        <x:v>正文§5.1；Supplement S6.1。 本轮定位：S03/S04，sections/full_fe_kam_control.tex（固定commit）。</x:v>
      </x:c>
      <x:c r="J145" s="3" t="str">
        <x:v>用研究目的、敏感性/收敛比较支持此设置；其数值不需伪装为材料或器件实测值。</x:v>
      </x:c>
      <x:c r="K145" s="3" t="str"/>
    </x:row>
    <x:row r="146" ht="55" customHeight="1">
      <x:c r="A146" s="3" t="str">
        <x:v>N140</x:v>
      </x:c>
      <x:c r="B146" s="3" t="str">
        <x:v>p11 / 5.1</x:v>
      </x:c>
      <x:c r="C146" s="3" t="str">
        <x:v>COMSOL步长细化前后tip RMSE</x:v>
      </x:c>
      <x:c r="D146" s="3" t="str">
        <x:v>147.852 → 3.848</x:v>
      </x:c>
      <x:c r="E146" s="3" t="str">
        <x:v>µm</x:v>
      </x:c>
      <x:c r="F146" s="3" t="str">
        <x:v>仿真输出</x:v>
      </x:c>
      <x:c r="G146" s="3" t="str">
        <x:v>原基准计算输出；已定位补充说明，本轮未逐项重跑</x:v>
      </x:c>
      <x:c r="H146" s="3" t="str">
        <x:v>步长降至1/8后误差约降38.42倍，数值方向合理；不足以单凭两端点确认收敛阶。</x:v>
      </x:c>
      <x:c r="I146" s="3" t="str">
        <x:v>正文§5.1；Supplement S6.1。 本轮定位：S03/S04，sections/full_fe_kam_control.tex（固定commit）。</x:v>
      </x:c>
      <x:c r="J146" s="3" t="str">
        <x:v>采用新物理基准时须重生成轨迹、训练与对应输出；不能以文献引用替代运行。</x:v>
      </x:c>
      <x:c r="K146" s="3" t="str"/>
    </x:row>
    <x:row r="147" ht="55" customHeight="1">
      <x:c r="A147" s="3" t="str">
        <x:v>N141</x:v>
      </x:c>
      <x:c r="B147" s="3" t="str">
        <x:v>p12 / Figure 1</x:v>
      </x:c>
      <x:c r="C147" s="3" t="str">
        <x:v>显示的时间窗</x:v>
      </x:c>
      <x:c r="D147" s="3" t="str">
        <x:v>panels (a,c,d): 2; panel (b): 12</x:v>
      </x:c>
      <x:c r="E147" s="3" t="str">
        <x:v>s</x:v>
      </x:c>
      <x:c r="F147" s="3" t="str">
        <x:v>作者选择</x:v>
      </x:c>
      <x:c r="G147" s="3" t="str">
        <x:v>作者设定；可追溯至原稿/补充协议，非外部实测值</x:v>
      </x:c>
      <x:c r="H147" s="3" t="str">
        <x:v>与正文12s总比较相容；2s只显示其中片段。</x:v>
      </x:c>
      <x:c r="I147" s="3" t="str">
        <x:v>Figure 1 caption。 本轮定位：S03/S04，sections/full_fe_kam_control.tex（固定commit）。</x:v>
      </x:c>
      <x:c r="J147" s="3" t="str">
        <x:v>用研究目的、敏感性/收敛比较支持此设置；其数值不需伪装为材料或器件实测值。</x:v>
      </x:c>
      <x:c r="K147" s="3" t="str"/>
    </x:row>
    <x:row r="148" ht="85" customHeight="1">
      <x:c r="A148" s="3" t="str">
        <x:v>N142</x:v>
      </x:c>
      <x:c r="B148" s="3" t="str">
        <x:v>p11 / 5.2</x:v>
      </x:c>
      <x:c r="C148" s="3" t="str">
        <x:v>横向正弦场扫描振幅范围</x:v>
      </x:c>
      <x:c r="D148" s="3" t="str">
        <x:v>1–20</x:v>
      </x:c>
      <x:c r="E148" s="3" t="str">
        <x:v>mT</x:v>
      </x:c>
      <x:c r="F148" s="3" t="str">
        <x:v>作者选择</x:v>
      </x:c>
      <x:c r="G148" s="3" t="str">
        <x:v>作者设定；可追溯至原稿/补充协议，非外部实测值</x:v>
      </x:c>
      <x:c r="H148" s="3" t="str">
        <x:v>未见说明该上限来自具体线圈、永磁体、标定或临床约束。</x:v>
      </x:c>
      <x:c r="I148" s="3" t="str">
        <x:v>正文§5.2；Supplement S5.9（初态、continuation协议、瞬态阈值与模态/时间细化） 本轮定位：S03/S04，sections/full_fe_kam_control.tex（固定commit）。</x:v>
      </x:c>
      <x:c r="J148" s="3" t="str">
        <x:v>用研究目的、敏感性/收敛比较支持此设置；其数值不需伪装为材料或器件实测值。</x:v>
      </x:c>
      <x:c r="K148" s="3" t="str">
        <x:v>L02/L03仅量级对照</x:v>
      </x:c>
    </x:row>
    <x:row r="149" ht="85" customHeight="1">
      <x:c r="A149" s="3" t="str">
        <x:v>N143</x:v>
      </x:c>
      <x:c r="B149" s="3" t="str">
        <x:v>p11 / 5.2</x:v>
      </x:c>
      <x:c r="C149" s="3" t="str">
        <x:v>驱动频率比扫描范围</x:v>
      </x:c>
      <x:c r="D149" s="3" t="str">
        <x:v>r=ω_f/ω0 ∈ [0.7,1.3]</x:v>
      </x:c>
      <x:c r="E149" s="3" t="str">
        <x:v>无量纲</x:v>
      </x:c>
      <x:c r="F149" s="3" t="str">
        <x:v>作者选择</x:v>
      </x:c>
      <x:c r="G149" s="3" t="str">
        <x:v>作者设定；可追溯至原稿/补充协议，非外部实测值</x:v>
      </x:c>
      <x:c r="H149" s="3" t="str">
        <x:v>围绕第一模态频率作共振扫描；范围为作者设定。</x:v>
      </x:c>
      <x:c r="I149" s="3" t="str">
        <x:v>正文§5.2；Supplement S5.9（初态、continuation协议、瞬态阈值与模态/时间细化） 本轮定位：S03/S04，sections/full_fe_kam_control.tex（固定commit）。</x:v>
      </x:c>
      <x:c r="J149" s="3" t="str">
        <x:v>用研究目的、敏感性/收敛比较支持此设置；其数值不需伪装为材料或器件实测值。</x:v>
      </x:c>
      <x:c r="K149" s="3" t="str"/>
    </x:row>
    <x:row r="150" ht="85" customHeight="1">
      <x:c r="A150" s="3" t="str">
        <x:v>N144</x:v>
      </x:c>
      <x:c r="B150" s="3" t="str">
        <x:v>p11 / 5.2</x:v>
      </x:c>
      <x:c r="C150" s="3" t="str">
        <x:v>扫描动力学的截断模态数</x:v>
      </x:c>
      <x:c r="D150" s="3" t="str">
        <x:v>2</x:v>
      </x:c>
      <x:c r="E150" s="3" t="str">
        <x:v>模态</x:v>
      </x:c>
      <x:c r="F150" s="3" t="str">
        <x:v>作者选择</x:v>
      </x:c>
      <x:c r="G150" s="3" t="str">
        <x:v>作者设定；可追溯至原稿/补充协议，非外部实测值</x:v>
      </x:c>
      <x:c r="H150" s="3" t="str">
        <x:v>不能把此扫描结论直接视为64模态Floquet谱结果。</x:v>
      </x:c>
      <x:c r="I150" s="3" t="str">
        <x:v>正文§5.2；Supplement S5.9（初态、continuation协议、瞬态阈值与模态/时间细化） 本轮定位：S03/S04，sections/stability_boundary.tex（固定commit）。</x:v>
      </x:c>
      <x:c r="J150" s="3" t="str">
        <x:v>用研究目的、敏感性/收敛比较支持此设置；其数值不需伪装为材料或器件实测值。</x:v>
      </x:c>
      <x:c r="K150" s="3" t="str"/>
    </x:row>
    <x:row r="151" ht="85" customHeight="1">
      <x:c r="A151" s="3" t="str">
        <x:v>N145</x:v>
      </x:c>
      <x:c r="B151" s="3" t="str">
        <x:v>p11 / 5.2</x:v>
      </x:c>
      <x:c r="C151" s="3" t="str">
        <x:v>独立初始化扫描点数</x:v>
      </x:c>
      <x:c r="D151" s="3" t="str">
        <x:v>1029</x:v>
      </x:c>
      <x:c r="E151" s="3" t="str">
        <x:v>点</x:v>
      </x:c>
      <x:c r="F151" s="3" t="str">
        <x:v>作者选择</x:v>
      </x:c>
      <x:c r="G151" s="3" t="str">
        <x:v>作者设定；可追溯至原稿/补充协议，非外部实测值</x:v>
      </x:c>
      <x:c r="H151" s="3" t="str">
        <x:v>正文没有振幅与频率网格列表，无法验证1029如何组成。</x:v>
      </x:c>
      <x:c r="I151" s="3" t="str">
        <x:v>正文§5.2；Supplement S5.9（初态、continuation协议、瞬态阈值与模态/时间细化） 本轮定位：S03/S04，sections/stability_boundary.tex（固定commit）。</x:v>
      </x:c>
      <x:c r="J151" s="3" t="str">
        <x:v>用研究目的、敏感性/收敛比较支持此设置；其数值不需伪装为材料或器件实测值。</x:v>
      </x:c>
      <x:c r="K151" s="3" t="str"/>
    </x:row>
    <x:row r="152" ht="85" customHeight="1">
      <x:c r="A152" s="3" t="str">
        <x:v>N146</x:v>
      </x:c>
      <x:c r="B152" s="3" t="str">
        <x:v>p11 / 5.2</x:v>
      </x:c>
      <x:c r="C152" s="3" t="str">
        <x:v>上/下行continuation点数</x:v>
      </x:c>
      <x:c r="D152" s="3" t="str">
        <x:v>686</x:v>
      </x:c>
      <x:c r="E152" s="3" t="str">
        <x:v>点</x:v>
      </x:c>
      <x:c r="F152" s="3" t="str">
        <x:v>作者选择</x:v>
      </x:c>
      <x:c r="G152" s="3" t="str">
        <x:v>作者设定；可追溯至原稿/补充协议，非外部实测值</x:v>
      </x:c>
      <x:c r="H152" s="3" t="str">
        <x:v>正文没有每一方向/分支计数和continuation步长。</x:v>
      </x:c>
      <x:c r="I152" s="3" t="str">
        <x:v>正文§5.2；Supplement S5.9（初态、continuation协议、瞬态阈值与模态/时间细化） 本轮定位：S03/S04，sections/stability_boundary.tex（固定commit）。</x:v>
      </x:c>
      <x:c r="J152" s="3" t="str">
        <x:v>用研究目的、敏感性/收敛比较支持此设置；其数值不需伪装为材料或器件实测值。</x:v>
      </x:c>
      <x:c r="K152" s="3" t="str"/>
    </x:row>
    <x:row r="153" ht="85" customHeight="1">
      <x:c r="A153" s="3" t="str">
        <x:v>N147</x:v>
      </x:c>
      <x:c r="B153" s="3" t="str">
        <x:v>p11 / 5.2</x:v>
      </x:c>
      <x:c r="C153" s="3" t="str">
        <x:v>每次运行舍弃的暂态时长</x:v>
      </x:c>
      <x:c r="D153" s="3" t="str">
        <x:v>128</x:v>
      </x:c>
      <x:c r="E153" s="3" t="str">
        <x:v>驱动周期</x:v>
      </x:c>
      <x:c r="F153" s="3" t="str">
        <x:v>作者选择</x:v>
      </x:c>
      <x:c r="G153" s="3" t="str">
        <x:v>作者设定；可追溯至原稿/补充协议，非外部实测值</x:v>
      </x:c>
      <x:c r="H153" s="3" t="str">
        <x:v>这是有限仿真暂态排除选择，不是证明所有初值已到稳态的定理。</x:v>
      </x:c>
      <x:c r="I153" s="3" t="str">
        <x:v>正文§5.2；Supplement S5.9（初态、continuation协议、瞬态阈值与模态/时间细化） 本轮定位：S03/S04，sections/stability_boundary.tex（固定commit）。</x:v>
      </x:c>
      <x:c r="J153" s="3" t="str">
        <x:v>用研究目的、敏感性/收敛比较支持此设置；其数值不需伪装为材料或器件实测值。</x:v>
      </x:c>
      <x:c r="K153" s="3" t="str"/>
    </x:row>
    <x:row r="154" ht="85" customHeight="1">
      <x:c r="A154" s="3" t="str">
        <x:v>N148</x:v>
      </x:c>
      <x:c r="B154" s="3" t="str">
        <x:v>p11 / 5.2</x:v>
      </x:c>
      <x:c r="C154" s="3" t="str">
        <x:v>每次运行用于诊断的后续时长</x:v>
      </x:c>
      <x:c r="D154" s="3" t="str">
        <x:v>64</x:v>
      </x:c>
      <x:c r="E154" s="3" t="str">
        <x:v>驱动周期</x:v>
      </x:c>
      <x:c r="F154" s="3" t="str">
        <x:v>作者选择</x:v>
      </x:c>
      <x:c r="G154" s="3" t="str">
        <x:v>作者设定；可追溯至原稿/补充协议，非外部实测值</x:v>
      </x:c>
      <x:c r="H154" s="3" t="str">
        <x:v>与前128周期共同构成一次192周期协议。</x:v>
      </x:c>
      <x:c r="I154" s="3" t="str">
        <x:v>正文§5.2；Supplement S5.9（初态、continuation协议、瞬态阈值与模态/时间细化） 本轮定位：S03/S04，sections/stability_boundary.tex（固定commit）。</x:v>
      </x:c>
      <x:c r="J154" s="3" t="str">
        <x:v>用研究目的、敏感性/收敛比较支持此设置；其数值不需伪装为材料或器件实测值。</x:v>
      </x:c>
      <x:c r="K154" s="3" t="str"/>
    </x:row>
    <x:row r="155" ht="85" customHeight="1">
      <x:c r="A155" s="3" t="str">
        <x:v>N149</x:v>
      </x:c>
      <x:c r="B155" s="3" t="str">
        <x:v>p11 / 5.2</x:v>
      </x:c>
      <x:c r="C155" s="3" t="str">
        <x:v>报告的Floquet谱半径范围</x:v>
      </x:c>
      <x:c r="D155" s="3" t="str">
        <x:v>0.803809–0.889055</x:v>
      </x:c>
      <x:c r="E155" s="3" t="str">
        <x:v>无量纲</x:v>
      </x:c>
      <x:c r="F155" s="3" t="str">
        <x:v>仿真输出</x:v>
      </x:c>
      <x:c r="G155" s="3" t="str">
        <x:v>原基准计算输出；已定位补充说明，本轮未逐项重跑</x:v>
      </x:c>
      <x:c r="H155" s="3" t="str">
        <x:v>以α=0.55558524、ω0=11.417287283代入exp[−απ/(rω0)]，r=0.7/1.3分别给0.8038091231/0.8890547391，与显示值吻合；这只作一致性检查，不替代实际monodromy谱计算。</x:v>
      </x:c>
      <x:c r="I155" s="3" t="str">
        <x:v>正文§5.2；Supplement S5.9（初态、continuation协议、瞬态阈值与模态/时间细化） 本轮定位：S03/S04，sections/stability_boundary.tex（固定commit）。</x:v>
      </x:c>
      <x:c r="J155" s="3" t="str">
        <x:v>采用新物理基准时须重生成轨迹、训练与对应输出；不能以文献引用替代运行。</x:v>
      </x:c>
      <x:c r="K155" s="3" t="str"/>
    </x:row>
    <x:row r="156" ht="100" customHeight="1">
      <x:c r="A156" s="3" t="str">
        <x:v>N150</x:v>
      </x:c>
      <x:c r="B156" s="3" t="str">
        <x:v>p11 / 5.2 / 5.3</x:v>
      </x:c>
      <x:c r="C156" s="3" t="str">
        <x:v>使用的净净空/半宽c</x:v>
      </x:c>
      <x:c r="D156" s="3" t="str">
        <x:v>4</x:v>
      </x:c>
      <x:c r="E156" s="3" t="str">
        <x:v>mm</x:v>
      </x:c>
      <x:c r="F156" s="3" t="str">
        <x:v>作者选择</x:v>
      </x:c>
      <x:c r="G156" s="3" t="str">
        <x:v>作者设定；可追溯至原稿/补充协议，非外部实测值</x:v>
      </x:c>
      <x:c r="H156" s="3" t="str">
        <x:v>这是扣除杆半径后的允许中心线幅度；未见血管/导管/通道工程测量来源。</x:v>
      </x:c>
      <x:c r="I156" s="3" t="str">
        <x:v>正文§5.2；Supplement S5.9（初态、continuation协议、瞬态阈值与模态/时间细化）；式(32)及§5.3明确称4mm net clearance。 本轮定位：S03/S04，sections/stability_boundary.tex（固定commit）。</x:v>
      </x:c>
      <x:c r="J156" s="3" t="str">
        <x:v>用研究目的、敏感性/收敛比较支持此设置；其数值不需伪装为材料或器件实测值。</x:v>
      </x:c>
      <x:c r="K156" s="3" t="str"/>
    </x:row>
    <x:row r="157" ht="85" customHeight="1">
      <x:c r="A157" s="3" t="str">
        <x:v>N151</x:v>
      </x:c>
      <x:c r="B157" s="3" t="str">
        <x:v>p11 / 5.2</x:v>
      </x:c>
      <x:c r="C157" s="3" t="str">
        <x:v>重点求阈值的频率比</x:v>
      </x:c>
      <x:c r="D157" s="3" t="str">
        <x:v>r=(0.9,1,1.1)</x:v>
      </x:c>
      <x:c r="E157" s="3" t="str">
        <x:v>无量纲</x:v>
      </x:c>
      <x:c r="F157" s="3" t="str">
        <x:v>作者选择</x:v>
      </x:c>
      <x:c r="G157" s="3" t="str">
        <x:v>作者设定；可追溯至原稿/补充协议，非外部实测值</x:v>
      </x:c>
      <x:c r="H157" s="3" t="str">
        <x:v>是在扫描区间内挑选的三个代表频率。</x:v>
      </x:c>
      <x:c r="I157" s="3" t="str">
        <x:v>正文§5.2；Supplement S5.9（初态、continuation协议、瞬态阈值与模态/时间细化） 本轮定位：S03/S04，sections/stability_boundary.tex（固定commit）。</x:v>
      </x:c>
      <x:c r="J157" s="3" t="str">
        <x:v>用研究目的、敏感性/收敛比较支持此设置；其数值不需伪装为材料或器件实测值。</x:v>
      </x:c>
      <x:c r="K157" s="3" t="str"/>
    </x:row>
    <x:row r="158" ht="85" customHeight="1">
      <x:c r="A158" s="3" t="str">
        <x:v>N152</x:v>
      </x:c>
      <x:c r="B158" s="3" t="str">
        <x:v>p11 / 5.2</x:v>
      </x:c>
      <x:c r="C158" s="3" t="str">
        <x:v>64模态稳态4mm净空阈值</x:v>
      </x:c>
      <x:c r="D158" s="3" t="str">
        <x:v>r=0.9: 7.5005; r=1: 1.91685; r=1.1: 8.7909</x:v>
      </x:c>
      <x:c r="E158" s="3" t="str">
        <x:v>mT</x:v>
      </x:c>
      <x:c r="F158" s="3" t="str">
        <x:v>仿真输出</x:v>
      </x:c>
      <x:c r="G158" s="3" t="str">
        <x:v>原基准计算输出；已定位补充说明，本轮未逐项重跑</x:v>
      </x:c>
      <x:c r="H158" s="3" t="str">
        <x:v>阈值在共振附近下降的趋势合理；具体值需全模型周期解。作者明确区分稳态阈值和startup瞬态越界。</x:v>
      </x:c>
      <x:c r="I158" s="3" t="str">
        <x:v>正文§5.2；Supplement S5.9（初态、continuation协议、瞬态阈值与模态/时间细化） 本轮定位：S03/S04，sections/stability_boundary.tex（固定commit）。</x:v>
      </x:c>
      <x:c r="J158" s="3" t="str">
        <x:v>采用新物理基准时须重生成轨迹、训练与对应输出；不能以文献引用替代运行。</x:v>
      </x:c>
      <x:c r="K158" s="3" t="str"/>
    </x:row>
    <x:row r="159" ht="85" customHeight="1">
      <x:c r="A159" s="3" t="str">
        <x:v>N153</x:v>
      </x:c>
      <x:c r="B159" s="3" t="str">
        <x:v>p11 / 5.2</x:v>
      </x:c>
      <x:c r="C159" s="3" t="str">
        <x:v>净空阈值所用完整模态数</x:v>
      </x:c>
      <x:c r="D159" s="3" t="str">
        <x:v>64</x:v>
      </x:c>
      <x:c r="E159" s="3" t="str">
        <x:v>模态</x:v>
      </x:c>
      <x:c r="F159" s="3" t="str">
        <x:v>作者选择</x:v>
      </x:c>
      <x:c r="G159" s="3" t="str">
        <x:v>作者设定；可追溯至原稿/补充协议，非外部实测值</x:v>
      </x:c>
      <x:c r="H159" s="3" t="str">
        <x:v>与§2.1/5.1的64自由度模型一致。</x:v>
      </x:c>
      <x:c r="I159" s="3" t="str">
        <x:v>正文§5.2；Supplement S5.9（初态、continuation协议、瞬态阈值与模态/时间细化） 本轮定位：S03/S04，sections/stability_boundary.tex（固定commit）。</x:v>
      </x:c>
      <x:c r="J159" s="3" t="str">
        <x:v>用研究目的、敏感性/收敛比较支持此设置；其数值不需伪装为材料或器件实测值。</x:v>
      </x:c>
      <x:c r="K159" s="3" t="str"/>
    </x:row>
    <x:row r="160" ht="70" customHeight="1">
      <x:c r="A160" s="3" t="str">
        <x:v>N154</x:v>
      </x:c>
      <x:c r="B160" s="3" t="str">
        <x:v>p11 / 5.2</x:v>
      </x:c>
      <x:c r="C160" s="3" t="str">
        <x:v>可能提前越界的startup ramp数值协议</x:v>
      </x:c>
      <x:c r="D160" s="3" t="str">
        <x:v>main.pdf未给ramp时长/形状/起始相位</x:v>
      </x:c>
      <x:c r="E160" s="3" t="str">
        <x:v>未给</x:v>
      </x:c>
      <x:c r="F160" s="12" t="str">
        <x:v>缺失基础参数</x:v>
      </x:c>
      <x:c r="G160" s="12" t="str">
        <x:v>启动函数与主要扫描/时序协议已补</x:v>
      </x:c>
      <x:c r="H160" s="3" t="str">
        <x:v>S5.9给出A[1-exp(-(t/.25s)^2)]sin(r*omega0*t)，初始相位0；启动表为8模态零初态192周期，独立2模态扫描另用三初态、先弃128再测64周期。</x:v>
      </x:c>
      <x:c r="I160" s="3" t="str">
        <x:v>S04固定commit：sections/stability_boundary.tex S5.9</x:v>
      </x:c>
      <x:c r="J160" s="3" t="str">
        <x:v>启动轮廓root-finding及各高模态配置的完整代码设置未逐项核实</x:v>
      </x:c>
      <x:c r="K160" s="3" t="str">
        <x:v>S04</x:v>
      </x:c>
    </x:row>
    <x:row r="161" ht="100" customHeight="1">
      <x:c r="A161" s="3" t="str">
        <x:v>N155</x:v>
      </x:c>
      <x:c r="B161" s="3" t="str">
        <x:v>p12 / 5.3</x:v>
      </x:c>
      <x:c r="C161" s="3" t="str">
        <x:v>4mm净空对应临界物理能量Ec</x:v>
      </x:c>
      <x:c r="D161" s="3" t="str">
        <x:v>23.8565</x:v>
      </x:c>
      <x:c r="E161" s="3" t="str">
        <x:v>nJ</x:v>
      </x:c>
      <x:c r="F161" s="11" t="str">
        <x:v>公式派生</x:v>
      </x:c>
      <x:c r="G161" s="3" t="str">
        <x:v>由L、EI、c推导；不是文献直接给定的能量常数。</x:v>
      </x:c>
      <x:c r="H161" s="3" t="str">
        <x:v>原Ec≈23.8565 nJ由E=5 MPa等派生；新E≈2.1 MPa时Ec≈10.0197 nJ。净空几何保留并不保持同一能量预算。</x:v>
      </x:c>
      <x:c r="I161" s="3" t="str">
        <x:v>正文§5.3；Supplement S7.1（功率推导、field-variation界与细化数据）；式(32): Ec=3EI c²/(2L³)；材料参数由§2.1指向Table S1。 本轮定位：S03/S04，sections/unified_safety.tex（固定commit）。</x:v>
      </x:c>
      <x:c r="J161" s="3" t="str">
        <x:v>原22.66 nJ能量帽超出新Ec，禁止直接移植。</x:v>
      </x:c>
      <x:c r="K161" s="3" t="str">
        <x:v>S03；C01</x:v>
      </x:c>
    </x:row>
    <x:row r="162" ht="70" customHeight="1">
      <x:c r="A162" s="3" t="str">
        <x:v>N156</x:v>
      </x:c>
      <x:c r="B162" s="3" t="str">
        <x:v>p12 / 5.3</x:v>
      </x:c>
      <x:c r="C162" s="3" t="str">
        <x:v>能量预算比例</x:v>
      </x:c>
      <x:c r="D162" s="3" t="str">
        <x:v>Emax/Ec=0.95</x:v>
      </x:c>
      <x:c r="E162" s="3" t="str">
        <x:v>无量纲</x:v>
      </x:c>
      <x:c r="F162" s="3" t="str">
        <x:v>作者选择</x:v>
      </x:c>
      <x:c r="G162" s="3" t="str">
        <x:v>作者设定；可追溯至原稿/补充协议，非外部实测值</x:v>
      </x:c>
      <x:c r="H162" s="3" t="str">
        <x:v>0.95为预留5%能量裕量的作者设计；不是文献保证的硬件裕量。新预算按新Ec重算。</x:v>
      </x:c>
      <x:c r="I162" s="3" t="str">
        <x:v>正文§5.3；Supplement S7.1（功率推导、field-variation界与细化数据） 本轮定位：S03/S04，sections/unified_safety.tex（固定commit）。</x:v>
      </x:c>
      <x:c r="J162" s="3" t="str">
        <x:v>用研究目的、敏感性/收敛比较支持此设置；其数值不需伪装为材料或器件实测值。</x:v>
      </x:c>
      <x:c r="K162" s="3" t="str"/>
    </x:row>
    <x:row r="163" ht="85" customHeight="1">
      <x:c r="A163" s="3" t="str">
        <x:v>N157</x:v>
      </x:c>
      <x:c r="B163" s="3" t="str">
        <x:v>p12 / 5.3</x:v>
      </x:c>
      <x:c r="C163" s="3" t="str">
        <x:v>连续时间全中心线界</x:v>
      </x:c>
      <x:c r="D163" s="3" t="str">
        <x:v>3.898718</x:v>
      </x:c>
      <x:c r="E163" s="3" t="str">
        <x:v>mm</x:v>
      </x:c>
      <x:c r="F163" s="11" t="str">
        <x:v>公式派生</x:v>
      </x:c>
      <x:c r="G163" s="3" t="str">
        <x:v>由净空与能量预算比例直接推导。</x:v>
      </x:c>
      <x:c r="H163" s="3" t="str">
        <x:v>4sqrt(0.95)=3.8987177379mm，正确向外取整。</x:v>
      </x:c>
      <x:c r="I163" s="3" t="str">
        <x:v>正文§5.3；Supplement S7.1（功率推导、field-variation界与细化数据）；式(32)与Emax=0.95Ec。 本轮定位：S03/S04，sections/unified_safety.tex（固定commit）。</x:v>
      </x:c>
      <x:c r="J163" s="3" t="str">
        <x:v>上游4mm净空选择；不依赖新的材料数据。</x:v>
      </x:c>
      <x:c r="K163" s="3" t="str"/>
    </x:row>
    <x:row r="164" ht="70" customHeight="1">
      <x:c r="A164" s="3" t="str">
        <x:v>N158</x:v>
      </x:c>
      <x:c r="B164" s="3" t="str">
        <x:v>p12 / 5.3</x:v>
      </x:c>
      <x:c r="C164" s="3" t="str">
        <x:v>请求正弦磁场的振幅</x:v>
      </x:c>
      <x:c r="D164" s="3" t="str">
        <x:v>10</x:v>
      </x:c>
      <x:c r="E164" s="3" t="str">
        <x:v>mT</x:v>
      </x:c>
      <x:c r="F164" s="3" t="str">
        <x:v>作者选择</x:v>
      </x:c>
      <x:c r="G164" s="3" t="str">
        <x:v>作者设定；可追溯至原稿/补充协议，非外部实测值</x:v>
      </x:c>
      <x:c r="H164" s="3" t="str">
        <x:v>这是请求幅度，不应未经补充材料把它等同于式(33)的Bmax。</x:v>
      </x:c>
      <x:c r="I164" s="3" t="str">
        <x:v>正文§5.3；Supplement S7.1（功率推导、field-variation界与细化数据） 本轮定位：S03/S04，sections/unified_safety.tex（固定commit）。</x:v>
      </x:c>
      <x:c r="J164" s="3" t="str">
        <x:v>用研究目的、敏感性/收敛比较支持此设置；其数值不需伪装为材料或器件实测值。</x:v>
      </x:c>
      <x:c r="K164" s="3" t="str">
        <x:v>L02/L03仅量级对照</x:v>
      </x:c>
    </x:row>
    <x:row r="165" ht="70" customHeight="1">
      <x:c r="A165" s="3" t="str">
        <x:v>N159</x:v>
      </x:c>
      <x:c r="B165" s="3" t="str">
        <x:v>p12 / 5.3</x:v>
      </x:c>
      <x:c r="C165" s="3" t="str">
        <x:v>未启用governor时的采样位移峰值</x:v>
      </x:c>
      <x:c r="D165" s="3" t="str">
        <x:v>5.14478</x:v>
      </x:c>
      <x:c r="E165" s="3" t="str">
        <x:v>mm</x:v>
      </x:c>
      <x:c r="F165" s="3" t="str">
        <x:v>仿真输出</x:v>
      </x:c>
      <x:c r="G165" s="3" t="str">
        <x:v>原基准计算输出；已定位补充说明，本轮未逐项重跑</x:v>
      </x:c>
      <x:c r="H165" s="3" t="str">
        <x:v>大于所选4mm净空；属于采样峰值而非已给出的严格连续时间上界。</x:v>
      </x:c>
      <x:c r="I165" s="3" t="str">
        <x:v>正文§5.3；Supplement S7.1（功率推导、field-variation界与细化数据） 本轮定位：S03/S04，sections/unified_safety.tex（固定commit）。</x:v>
      </x:c>
      <x:c r="J165" s="3" t="str">
        <x:v>采用新物理基准时须重生成轨迹、训练与对应输出；不能以文献引用替代运行。</x:v>
      </x:c>
      <x:c r="K165" s="3" t="str"/>
    </x:row>
    <x:row r="166" ht="70" customHeight="1">
      <x:c r="A166" s="3" t="str">
        <x:v>N160</x:v>
      </x:c>
      <x:c r="B166" s="3" t="str">
        <x:v>p12 / 5.3</x:v>
      </x:c>
      <x:c r="C166" s="3" t="str">
        <x:v>启用governor时的采样位移峰值</x:v>
      </x:c>
      <x:c r="D166" s="3" t="str">
        <x:v>3.14362</x:v>
      </x:c>
      <x:c r="E166" s="3" t="str">
        <x:v>mm</x:v>
      </x:c>
      <x:c r="F166" s="3" t="str">
        <x:v>仿真输出</x:v>
      </x:c>
      <x:c r="G166" s="3" t="str">
        <x:v>原基准计算输出；已定位补充说明，本轮未逐项重跑</x:v>
      </x:c>
      <x:c r="H166" s="3" t="str">
        <x:v>小于解析界3.898718mm；解析界与这一次采样峰值性质不同。</x:v>
      </x:c>
      <x:c r="I166" s="3" t="str">
        <x:v>正文§5.3；Supplement S7.1（功率推导、field-variation界与细化数据） 本轮定位：S03/S04，sections/unified_safety.tex（固定commit）。</x:v>
      </x:c>
      <x:c r="J166" s="3" t="str">
        <x:v>采用新物理基准时须重生成轨迹、训练与对应输出；不能以文献引用替代运行。</x:v>
      </x:c>
      <x:c r="K166" s="3" t="str"/>
    </x:row>
    <x:row r="167" ht="70" customHeight="1">
      <x:c r="A167" s="3" t="str">
        <x:v>N161</x:v>
      </x:c>
      <x:c r="B167" s="3" t="str">
        <x:v>p12 / 5.3</x:v>
      </x:c>
      <x:c r="C167" s="3" t="str">
        <x:v>online COMSOL受governor控制的峰值</x:v>
      </x:c>
      <x:c r="D167" s="3" t="str">
        <x:v>3.143643</x:v>
      </x:c>
      <x:c r="E167" s="3" t="str">
        <x:v>mm</x:v>
      </x:c>
      <x:c r="F167" s="3" t="str">
        <x:v>仿真输出</x:v>
      </x:c>
      <x:c r="G167" s="3" t="str">
        <x:v>原基准计算输出；已定位补充说明，本轮未逐项重跑</x:v>
      </x:c>
      <x:c r="H167" s="3" t="str">
        <x:v>与3.14362mm差0.000023mm=0.023µm；显示精度有限，不能推断更细一致性。</x:v>
      </x:c>
      <x:c r="I167" s="3" t="str">
        <x:v>正文§5.3；Supplement S7.1（功率推导、field-variation界与细化数据） 本轮定位：S03/S04，sections/unified_safety.tex（固定commit）。</x:v>
      </x:c>
      <x:c r="J167" s="3" t="str">
        <x:v>采用新物理基准时须重生成轨迹、训练与对应输出；不能以文献引用替代运行。</x:v>
      </x:c>
      <x:c r="K167" s="3" t="str"/>
    </x:row>
    <x:row r="168" ht="145" customHeight="1">
      <x:c r="A168" s="3" t="str">
        <x:v>N162</x:v>
      </x:c>
      <x:c r="B168" s="3" t="str">
        <x:v>p12 / 5.3</x:v>
      </x:c>
      <x:c r="C168" s="3" t="str">
        <x:v>governor复现所需但未明示的数值设定</x:v>
      </x:c>
      <x:c r="D168" s="3" t="str">
        <x:v>κ、Bmax、Ē0、正弦频率/相位、初态未在该段列数值</x:v>
      </x:c>
      <x:c r="E168" s="3" t="str">
        <x:v>未给</x:v>
      </x:c>
      <x:c r="F168" s="12" t="str">
        <x:v>缺失基础参数</x:v>
      </x:c>
      <x:c r="G168" s="12" t="str">
        <x:v>kappa及核心协议已补；该例Bmax和W初始上界独立数值及Python容差仍未核</x:v>
      </x:c>
      <x:c r="H168" s="3" t="str">
        <x:v>S7.3已给kappa=5s^-1、Emax=.95Ec=22.66365nJ、10mT/9.444949rad/s/.25s ramp、零物理初态、8s/2001输出。Bmax/W0独立赋值和Python原始容差仍需配置；后续20mT为另一跟踪例。</x:v>
      </x:c>
      <x:c r="I168" s="3" t="str">
        <x:v>S04固定commit：sections/unified_safety.tex S7.2-S7.3</x:v>
      </x:c>
      <x:c r="J168" s="3" t="str">
        <x:v>本10mT请求试验的Bmax独立参数值（文字明确的20mT是后续2mm跟踪协议，不得直接借来）；bar(E0)=W(0)的独立赋值；E(0)=0已明确但逻辑上bar(E0)可更大；Python full-FE该试验的基础rtol/atol（只给tenfold refinement，不能倒推）；是否任何离散采样/保持实现用于Python控制器；正文定理为连续理想即时输入</x:v>
      </x:c>
      <x:c r="K168" s="3" t="str">
        <x:v>S04</x:v>
      </x:c>
    </x:row>
    <x:row r="169" ht="85" customHeight="1">
      <x:c r="A169" s="3" t="str">
        <x:v>N163</x:v>
      </x:c>
      <x:c r="B169" s="3" t="str">
        <x:v>p12 / 5.4</x:v>
      </x:c>
      <x:c r="C169" s="3" t="str">
        <x:v>初始化误差能量椭球半径</x:v>
      </x:c>
      <x:c r="D169" s="3" t="str">
        <x:v>Q(e)≤5</x:v>
      </x:c>
      <x:c r="E169" s="3" t="str">
        <x:v>pJ</x:v>
      </x:c>
      <x:c r="F169" s="3" t="str">
        <x:v>作者选择</x:v>
      </x:c>
      <x:c r="G169" s="3" t="str">
        <x:v>作者设定；可追溯至原稿/补充协议，非外部实测值</x:v>
      </x:c>
      <x:c r="H169" s="3" t="str">
        <x:v>这是以M、Kb定义的误差集合，不能当成每个位置/速度独立允许5pJ或56µm。</x:v>
      </x:c>
      <x:c r="I169" s="3" t="str">
        <x:v>正文§5.4；Supplement S7.5（证明、directed-rounding证书、actuator derating和完整模型细化） 本轮定位：S03/S04，sections/operational_tolerances.tex（固定commit）。</x:v>
      </x:c>
      <x:c r="J169" s="3" t="str">
        <x:v>用研究目的、敏感性/收敛比较支持此设置；其数值不需伪装为材料或器件实测值。</x:v>
      </x:c>
      <x:c r="K169" s="3" t="str"/>
    </x:row>
    <x:row r="170" ht="85" customHeight="1">
      <x:c r="A170" s="3" t="str">
        <x:v>N164</x:v>
      </x:c>
      <x:c r="B170" s="3" t="str">
        <x:v>p12 / 5.4</x:v>
      </x:c>
      <x:c r="C170" s="3" t="str">
        <x:v>5pJ椭球的tip-position投影上界</x:v>
      </x:c>
      <x:c r="D170" s="3" t="str">
        <x:v>56.006</x:v>
      </x:c>
      <x:c r="E170" s="3" t="str">
        <x:v>µm</x:v>
      </x:c>
      <x:c r="F170" s="3" t="str">
        <x:v>数值认证</x:v>
      </x:c>
      <x:c r="G170" s="3" t="str">
        <x:v>原基准认证声称；已取得补充材料，未逐项独立复验</x:v>
      </x:c>
      <x:c r="H170" s="3" t="str">
        <x:v>反推EI≈5.0893866667e−7Nm²，用Cb=L³/(3EI)−E0[L²/(2EI)]²/(1+E0L/EI)≈313.6624150m/N，sqrt(2·5pJ·Cb)=56.0055725µm，与显示值一致。</x:v>
      </x:c>
      <x:c r="I170" s="3" t="str">
        <x:v>正文§5.4；Supplement S7.5（证明、directed-rounding证书、actuator derating和完整模型细化） 本轮定位：S03/S04，sections/operational_tolerances.tex（固定commit）。</x:v>
      </x:c>
      <x:c r="J170" s="3" t="str">
        <x:v>更换物理参数或有限元质量矩阵后，须重新生成并验证对应区间证书；旧界不移植。</x:v>
      </x:c>
      <x:c r="K170" s="3" t="str"/>
    </x:row>
    <x:row r="171" ht="85" customHeight="1">
      <x:c r="A171" s="3" t="str">
        <x:v>N165</x:v>
      </x:c>
      <x:c r="B171" s="3" t="str">
        <x:v>p12 / 5.4</x:v>
      </x:c>
      <x:c r="C171" s="3" t="str">
        <x:v>tip-angle测量误差假设</x:v>
      </x:c>
      <x:c r="D171" s="3" t="str">
        <x:v>1</x:v>
      </x:c>
      <x:c r="E171" s="3" t="str">
        <x:v>mrad</x:v>
      </x:c>
      <x:c r="F171" s="3" t="str">
        <x:v>作者选择</x:v>
      </x:c>
      <x:c r="G171" s="3" t="str">
        <x:v>条件性工程误差预算；原文已明确不是测得的规格</x:v>
      </x:c>
      <x:c r="H171" s="3" t="str">
        <x:v>Supplement S7.5/Table S12将这些数值明列为确定性假设。可用于条件定理/仿真，不据此宣布任何设备已达到。</x:v>
      </x:c>
      <x:c r="I171" s="3" t="str">
        <x:v>正文§5.4；Supplement S7.5（证明、directed-rounding证书、actuator derating和完整模型细化） 本轮定位：S03/S04，sections/operational_tolerances.tex（固定commit）。</x:v>
      </x:c>
      <x:c r="J171" s="3" t="str">
        <x:v>需具体传感/执行器的校准、带宽、延迟、工作区和最坏误差证据；更换物理基准后重算工作储备。</x:v>
      </x:c>
      <x:c r="K171" s="3" t="str">
        <x:v>S04；L16</x:v>
      </x:c>
    </x:row>
    <x:row r="172" ht="85" customHeight="1">
      <x:c r="A172" s="3" t="str">
        <x:v>N166</x:v>
      </x:c>
      <x:c r="B172" s="3" t="str">
        <x:v>p12 / 5.4</x:v>
      </x:c>
      <x:c r="C172" s="3" t="str">
        <x:v>angular-rate测量误差假设</x:v>
      </x:c>
      <x:c r="D172" s="3" t="str">
        <x:v>0.01</x:v>
      </x:c>
      <x:c r="E172" s="3" t="str">
        <x:v>rad/s</x:v>
      </x:c>
      <x:c r="F172" s="3" t="str">
        <x:v>作者选择</x:v>
      </x:c>
      <x:c r="G172" s="3" t="str">
        <x:v>条件性工程误差预算；原文已明确不是测得的规格</x:v>
      </x:c>
      <x:c r="H172" s="3" t="str">
        <x:v>Supplement S7.5/Table S12将这些数值明列为确定性假设。可用于条件定理/仿真，不据此宣布任何设备已达到。</x:v>
      </x:c>
      <x:c r="I172" s="3" t="str">
        <x:v>正文§5.4；Supplement S7.5（证明、directed-rounding证书、actuator derating和完整模型细化） 本轮定位：S03/S04，sections/operational_tolerances.tex（固定commit）。</x:v>
      </x:c>
      <x:c r="J172" s="3" t="str">
        <x:v>需具体传感/执行器的校准、带宽、延迟、工作区和最坏误差证据；更换物理基准后重算工作储备。</x:v>
      </x:c>
      <x:c r="K172" s="3" t="str">
        <x:v>S04；L16</x:v>
      </x:c>
    </x:row>
    <x:row r="173" ht="85" customHeight="1">
      <x:c r="A173" s="3" t="str">
        <x:v>N167</x:v>
      </x:c>
      <x:c r="B173" s="3" t="str">
        <x:v>p12 / 5.4</x:v>
      </x:c>
      <x:c r="C173" s="3" t="str">
        <x:v>tip-velocity测量误差假设</x:v>
      </x:c>
      <x:c r="D173" s="3" t="str">
        <x:v>0.1</x:v>
      </x:c>
      <x:c r="E173" s="3" t="str">
        <x:v>mm/s</x:v>
      </x:c>
      <x:c r="F173" s="3" t="str">
        <x:v>作者选择</x:v>
      </x:c>
      <x:c r="G173" s="3" t="str">
        <x:v>条件性工程误差预算；原文已明确不是测得的规格</x:v>
      </x:c>
      <x:c r="H173" s="3" t="str">
        <x:v>Supplement S7.5/Table S12将这些数值明列为确定性假设。可用于条件定理/仿真，不据此宣布任何设备已达到。</x:v>
      </x:c>
      <x:c r="I173" s="3" t="str">
        <x:v>正文§5.4；Supplement S7.5（证明、directed-rounding证书、actuator derating和完整模型细化） 本轮定位：S03/S04，sections/operational_tolerances.tex（固定commit）。</x:v>
      </x:c>
      <x:c r="J173" s="3" t="str">
        <x:v>需具体传感/执行器的校准、带宽、延迟、工作区和最坏误差证据；更换物理基准后重算工作储备。</x:v>
      </x:c>
      <x:c r="K173" s="3" t="str">
        <x:v>S04；L16</x:v>
      </x:c>
    </x:row>
    <x:row r="174" ht="85" customHeight="1">
      <x:c r="A174" s="3" t="str">
        <x:v>N168</x:v>
      </x:c>
      <x:c r="B174" s="3" t="str">
        <x:v>p12 / 5.4</x:v>
      </x:c>
      <x:c r="C174" s="3" t="str">
        <x:v>两个实际输入的乘性误差假设</x:v>
      </x:c>
      <x:c r="D174" s="3" t="str">
        <x:v>1%（force与transverse field均适用）</x:v>
      </x:c>
      <x:c r="E174" s="3" t="str">
        <x:v>相对误差</x:v>
      </x:c>
      <x:c r="F174" s="3" t="str">
        <x:v>作者选择</x:v>
      </x:c>
      <x:c r="G174" s="3" t="str">
        <x:v>条件性工程误差预算；原文已明确不是测得的规格</x:v>
      </x:c>
      <x:c r="H174" s="3" t="str">
        <x:v>原模型F=(1+gF)uF+eF、By=(1+gB)uB+eB；1%是命令乘性误差，须与加性项合并，不能叫全量程总精度。</x:v>
      </x:c>
      <x:c r="I174" s="3" t="str">
        <x:v>正文§5.4；Supplement S7.5（证明、directed-rounding证书、actuator derating和完整模型细化） 本轮定位：S03/S04，sections/operational_tolerances.tex（固定commit）。</x:v>
      </x:c>
      <x:c r="J174" s="3" t="str">
        <x:v>需具体传感/执行器的校准、带宽、延迟、工作区和最坏误差证据；更换物理基准后重算工作储备。</x:v>
      </x:c>
      <x:c r="K174" s="3" t="str">
        <x:v>S04；L16</x:v>
      </x:c>
    </x:row>
    <x:row r="175" ht="85" customHeight="1">
      <x:c r="A175" s="3" t="str">
        <x:v>N169</x:v>
      </x:c>
      <x:c r="B175" s="3" t="str">
        <x:v>p12 / 5.4</x:v>
      </x:c>
      <x:c r="C175" s="3" t="str">
        <x:v>实际force输入的加性误差假设</x:v>
      </x:c>
      <x:c r="D175" s="3" t="str">
        <x:v>0.5</x:v>
      </x:c>
      <x:c r="E175" s="3" t="str">
        <x:v>nN</x:v>
      </x:c>
      <x:c r="F175" s="3" t="str">
        <x:v>作者选择</x:v>
      </x:c>
      <x:c r="G175" s="3" t="str">
        <x:v>条件性工程误差预算；原文已明确不是测得的规格</x:v>
      </x:c>
      <x:c r="H175" s="3" t="str">
        <x:v>Supplement S7.5/Table S12将这些数值明列为确定性假设。可用于条件定理/仿真，不据此宣布任何设备已达到。</x:v>
      </x:c>
      <x:c r="I175" s="3" t="str">
        <x:v>正文§5.4；Supplement S7.5（证明、directed-rounding证书、actuator derating和完整模型细化） 本轮定位：S03/S04，sections/operational_tolerances.tex（固定commit）。</x:v>
      </x:c>
      <x:c r="J175" s="3" t="str">
        <x:v>需具体传感/执行器的校准、带宽、延迟、工作区和最坏误差证据；更换物理基准后重算工作储备。</x:v>
      </x:c>
      <x:c r="K175" s="3" t="str">
        <x:v>S04；L16</x:v>
      </x:c>
    </x:row>
    <x:row r="176" ht="85" customHeight="1">
      <x:c r="A176" s="3" t="str">
        <x:v>N170</x:v>
      </x:c>
      <x:c r="B176" s="3" t="str">
        <x:v>p12 / 5.4</x:v>
      </x:c>
      <x:c r="C176" s="3" t="str">
        <x:v>实际横向field输入的加性误差假设</x:v>
      </x:c>
      <x:c r="D176" s="3" t="str">
        <x:v>0.05</x:v>
      </x:c>
      <x:c r="E176" s="3" t="str">
        <x:v>µT</x:v>
      </x:c>
      <x:c r="F176" s="3" t="str">
        <x:v>作者选择</x:v>
      </x:c>
      <x:c r="G176" s="3" t="str">
        <x:v>条件性工程误差预算；原文已明确不是测得的规格</x:v>
      </x:c>
      <x:c r="H176" s="3" t="str">
        <x:v>0.05 μT是加性项；例如命令6 mT时，1%乘性+0.05 μT对应60.05 μT误差包络。原文已区分二者。</x:v>
      </x:c>
      <x:c r="I176" s="3" t="str">
        <x:v>正文§5.4；Supplement S7.5（证明、directed-rounding证书、actuator derating和完整模型细化） 本轮定位：S03/S04，sections/operational_tolerances.tex（固定commit）。</x:v>
      </x:c>
      <x:c r="J176" s="3" t="str">
        <x:v>需具体传感/执行器的校准、带宽、延迟、工作区和最坏误差证据；更换物理基准后重算工作储备。</x:v>
      </x:c>
      <x:c r="K176" s="3" t="str">
        <x:v>S04；L16</x:v>
      </x:c>
    </x:row>
    <x:row r="177" ht="85" customHeight="1">
      <x:c r="A177" s="3" t="str">
        <x:v>N171</x:v>
      </x:c>
      <x:c r="B177" s="3" t="str">
        <x:v>p12 / 5.4</x:v>
      </x:c>
      <x:c r="C177" s="3" t="str">
        <x:v>覆盖加性误差的耗散reserve</x:v>
      </x:c>
      <x:c r="D177" s="3" t="str">
        <x:v>0.096780</x:v>
      </x:c>
      <x:c r="E177" s="3" t="str">
        <x:v>nJ</x:v>
      </x:c>
      <x:c r="F177" s="3" t="str">
        <x:v>数值认证</x:v>
      </x:c>
      <x:c r="G177" s="3" t="str">
        <x:v>原基准认证声称；已取得补充材料，未逐项独立复验</x:v>
      </x:c>
      <x:c r="H177" s="3" t="str">
        <x:v>正文仅说明来自worst-case measured-power及dissipation reserve，没有显示可逐项重算的公式/常数。</x:v>
      </x:c>
      <x:c r="I177" s="3" t="str">
        <x:v>正文§5.4；Supplement S7.5（证明、directed-rounding证书、actuator derating和完整模型细化） 本轮定位：S03/S04，sections/operational_tolerances.tex（固定commit）。</x:v>
      </x:c>
      <x:c r="J177" s="3" t="str">
        <x:v>更换物理参数或有限元质量矩阵后，须重新生成并验证对应区间证书；旧界不移植。</x:v>
      </x:c>
      <x:c r="K177" s="3" t="str">
        <x:v>未见器件来源；S01</x:v>
      </x:c>
    </x:row>
    <x:row r="178" ht="85" customHeight="1">
      <x:c r="A178" s="3" t="str">
        <x:v>N172</x:v>
      </x:c>
      <x:c r="B178" s="3" t="str">
        <x:v>p12 / 5.4</x:v>
      </x:c>
      <x:c r="C178" s="3" t="str">
        <x:v>非零误差保证的时间区间</x:v>
      </x:c>
      <x:c r="D178" s="3" t="str">
        <x:v>4</x:v>
      </x:c>
      <x:c r="E178" s="3" t="str">
        <x:v>s</x:v>
      </x:c>
      <x:c r="F178" s="3" t="str">
        <x:v>作者选择</x:v>
      </x:c>
      <x:c r="G178" s="3" t="str">
        <x:v>作者设定；可追溯至原稿/补充协议，非外部实测值</x:v>
      </x:c>
      <x:c r="H178" s="3" t="str">
        <x:v>有限时间保证；不能推广为同一reserve下任意长时间或无限保持环面。</x:v>
      </x:c>
      <x:c r="I178" s="3" t="str">
        <x:v>正文§5.4；Supplement S7.5（证明、directed-rounding证书、actuator derating和完整模型细化） 本轮定位：S03/S04，sections/operational_tolerances.tex（固定commit）。</x:v>
      </x:c>
      <x:c r="J178" s="3" t="str">
        <x:v>用研究目的、敏感性/收敛比较支持此设置；其数值不需伪装为材料或器件实测值。</x:v>
      </x:c>
      <x:c r="K178" s="3" t="str"/>
    </x:row>
    <x:row r="179" ht="85" customHeight="1">
      <x:c r="A179" s="3" t="str">
        <x:v>N173</x:v>
      </x:c>
      <x:c r="B179" s="3" t="str">
        <x:v>p12 / 5.4</x:v>
      </x:c>
      <x:c r="C179" s="3" t="str">
        <x:v>非零误差情形报告的能量帽</x:v>
      </x:c>
      <x:c r="D179" s="3" t="str">
        <x:v>22.66</x:v>
      </x:c>
      <x:c r="E179" s="3" t="str">
        <x:v>nJ</x:v>
      </x:c>
      <x:c r="F179" s="3" t="str">
        <x:v>数值认证</x:v>
      </x:c>
      <x:c r="G179" s="3" t="str">
        <x:v>原基准认证声称；已取得补充材料，未逐项独立复验</x:v>
      </x:c>
      <x:c r="H179" s="3" t="str">
        <x:v>接近0.95Ec≈22.663675nJ；尚不能仅凭差值重建0.096780nJ reserve如何纳入。</x:v>
      </x:c>
      <x:c r="I179" s="3" t="str">
        <x:v>正文§5.4；Supplement S7.5（证明、directed-rounding证书、actuator derating和完整模型细化） 本轮定位：S03/S04，sections/operational_tolerances.tex（固定commit）。</x:v>
      </x:c>
      <x:c r="J179" s="3" t="str">
        <x:v>更换物理参数或有限元质量矩阵后，须重新生成并验证对应区间证书；旧界不移植。</x:v>
      </x:c>
      <x:c r="K179" s="3" t="str"/>
    </x:row>
    <x:row r="180" ht="100" customHeight="1">
      <x:c r="A180" s="3" t="str">
        <x:v>N174</x:v>
      </x:c>
      <x:c r="B180" s="3" t="str">
        <x:v>p12 / 5.4</x:v>
      </x:c>
      <x:c r="C180" s="3" t="str">
        <x:v>非零误差保证的全中心线位移界</x:v>
      </x:c>
      <x:c r="D180" s="3" t="str">
        <x:v>3.898405</x:v>
      </x:c>
      <x:c r="E180" s="3" t="str">
        <x:v>mm</x:v>
      </x:c>
      <x:c r="F180" s="11" t="str">
        <x:v>公式派生</x:v>
      </x:c>
      <x:c r="G180" s="3" t="str">
        <x:v>由认证能量帽与物理弯曲能量界派生。</x:v>
      </x:c>
      <x:c r="H180" s="3" t="str">
        <x:v>4sqrt(22.66/23.8565)=3.8984016292mm；原文上界略宽、与取整一致。</x:v>
      </x:c>
      <x:c r="I180" s="3" t="str">
        <x:v>正文§5.4；Supplement S7.5（证明、directed-rounding证书、actuator derating和完整模型细化）；式(32)及22.66nJ能量帽。 本轮定位：S03/S04，sections/operational_tolerances.tex（固定commit）。</x:v>
      </x:c>
      <x:c r="J180" s="3" t="str">
        <x:v>上游22.66nJ证书和未舍入的Ec/EI。</x:v>
      </x:c>
      <x:c r="K180" s="3" t="str"/>
    </x:row>
    <x:row r="181" ht="85" customHeight="1">
      <x:c r="A181" s="3" t="str">
        <x:v>N175</x:v>
      </x:c>
      <x:c r="B181" s="3" t="str">
        <x:v>p13 / 5.5 / Figure 2</x:v>
      </x:c>
      <x:c r="C181" s="3" t="str">
        <x:v>S-path轴向总进给</x:v>
      </x:c>
      <x:c r="D181" s="3" t="str">
        <x:v>48</x:v>
      </x:c>
      <x:c r="E181" s="3" t="str">
        <x:v>mm</x:v>
      </x:c>
      <x:c r="F181" s="3" t="str">
        <x:v>作者选择</x:v>
      </x:c>
      <x:c r="G181" s="3" t="str">
        <x:v>作者设定；可追溯至原稿/补充协议，非外部实测值</x:v>
      </x:c>
      <x:c r="H181" s="3" t="str">
        <x:v>是规定端点任务尺寸；未见来自临床通路、装置行程或材料标准的引用。</x:v>
      </x:c>
      <x:c r="I181" s="3" t="str">
        <x:v>正文§5.5、Figure 2、Table 6；本节显式补充指向为Supplement S7.6；学习模型的full-FE拟合资料另见§3.4/S5.5 本轮定位：S03/S04，sections/s_path.tex（固定commit）。</x:v>
      </x:c>
      <x:c r="J181" s="3" t="str">
        <x:v>用研究目的、敏感性/收敛比较支持此设置；其数值不需伪装为材料或器件实测值。</x:v>
      </x:c>
      <x:c r="K181" s="3" t="str"/>
    </x:row>
    <x:row r="182" ht="85" customHeight="1">
      <x:c r="A182" s="3" t="str">
        <x:v>N176</x:v>
      </x:c>
      <x:c r="B182" s="3" t="str">
        <x:v>p13 / 5.5 / Table 6</x:v>
      </x:c>
      <x:c r="C182" s="3" t="str">
        <x:v>S-path stroke时长/RMS统计窗</x:v>
      </x:c>
      <x:c r="D182" s="3" t="str">
        <x:v>12</x:v>
      </x:c>
      <x:c r="E182" s="3" t="str">
        <x:v>s</x:v>
      </x:c>
      <x:c r="F182" s="3" t="str">
        <x:v>作者选择</x:v>
      </x:c>
      <x:c r="G182" s="3" t="str">
        <x:v>作者设定；可追溯至原稿/补充协议，非外部实测值</x:v>
      </x:c>
      <x:c r="H182" s="3" t="str">
        <x:v>Table6明确RMS使用12s stroke，与总16s最大误差窗口不同。</x:v>
      </x:c>
      <x:c r="I182" s="3" t="str">
        <x:v>正文§5.5、Figure 2、Table 6；本节显式补充指向为Supplement S7.6；学习模型的full-FE拟合资料另见§3.4/S5.5 本轮定位：S03/S04，sections/s_path.tex（固定commit）。</x:v>
      </x:c>
      <x:c r="J182" s="3" t="str">
        <x:v>用研究目的、敏感性/收敛比较支持此设置；其数值不需伪装为材料或器件实测值。</x:v>
      </x:c>
      <x:c r="K182" s="3" t="str"/>
    </x:row>
    <x:row r="183" ht="85" customHeight="1">
      <x:c r="A183" s="3" t="str">
        <x:v>N177</x:v>
      </x:c>
      <x:c r="B183" s="3" t="str">
        <x:v>p13 / 5.5 / Figure 2</x:v>
      </x:c>
      <x:c r="C183" s="3" t="str">
        <x:v>S-path横向目标极值</x:v>
      </x:c>
      <x:c r="D183" s="3" t="str">
        <x:v>±1.5</x:v>
      </x:c>
      <x:c r="E183" s="3" t="str">
        <x:v>mm</x:v>
      </x:c>
      <x:c r="F183" s="3" t="str">
        <x:v>作者选择</x:v>
      </x:c>
      <x:c r="G183" s="3" t="str">
        <x:v>作者设定；可追溯至原稿/补充协议，非外部实测值</x:v>
      </x:c>
      <x:c r="H183" s="3" t="str">
        <x:v>规定的是移动端点轨迹；不代表整根杆被要求形成或沿着S形管道。</x:v>
      </x:c>
      <x:c r="I183" s="3" t="str">
        <x:v>正文§5.5、Figure 2、Table 6；本节显式补充指向为Supplement S7.6；学习模型的full-FE拟合资料另见§3.4/S5.5 本轮定位：S03/S04，sections/s_path.tex（固定commit）。</x:v>
      </x:c>
      <x:c r="J183" s="3" t="str">
        <x:v>用研究目的、敏感性/收敛比较支持此设置；其数值不需伪装为材料或器件实测值。</x:v>
      </x:c>
      <x:c r="K183" s="3" t="str"/>
    </x:row>
    <x:row r="184" ht="85" customHeight="1">
      <x:c r="A184" s="3" t="str">
        <x:v>N178</x:v>
      </x:c>
      <x:c r="B184" s="3" t="str">
        <x:v>p13 / Table 6 / Figure 2</x:v>
      </x:c>
      <x:c r="C184" s="3" t="str">
        <x:v>完整仿真/最大误差统计时长</x:v>
      </x:c>
      <x:c r="D184" s="3" t="str">
        <x:v>16</x:v>
      </x:c>
      <x:c r="E184" s="3" t="str">
        <x:v>s</x:v>
      </x:c>
      <x:c r="F184" s="3" t="str">
        <x:v>作者选择</x:v>
      </x:c>
      <x:c r="G184" s="3" t="str">
        <x:v>作者设定；可追溯至原稿/补充协议，非外部实测值</x:v>
      </x:c>
      <x:c r="H184" s="3" t="str">
        <x:v>与12s stroke的统计口径在表注中已有区分。</x:v>
      </x:c>
      <x:c r="I184" s="3" t="str">
        <x:v>正文§5.5、Figure 2、Table 6；本节显式补充指向为Supplement S7.6；学习模型的full-FE拟合资料另见§3.4/S5.5 本轮定位：S03/S04，sections/s_path.tex（固定commit）。</x:v>
      </x:c>
      <x:c r="J184" s="3" t="str">
        <x:v>用研究目的、敏感性/收敛比较支持此设置；其数值不需伪装为材料或器件实测值。</x:v>
      </x:c>
      <x:c r="K184" s="3" t="str"/>
    </x:row>
    <x:row r="185" ht="85" customHeight="1">
      <x:c r="A185" s="3" t="str">
        <x:v>N179</x:v>
      </x:c>
      <x:c r="B185" s="3" t="str">
        <x:v>p13 / 5.5</x:v>
      </x:c>
      <x:c r="C185" s="3" t="str">
        <x:v>端点控制所用学习模型截断数</x:v>
      </x:c>
      <x:c r="D185" s="3" t="str">
        <x:v>2</x:v>
      </x:c>
      <x:c r="E185" s="3" t="str">
        <x:v>模态</x:v>
      </x:c>
      <x:c r="F185" s="3" t="str">
        <x:v>作者选择</x:v>
      </x:c>
      <x:c r="G185" s="3" t="str">
        <x:v>作者设定；可追溯至原稿/补充协议，非外部实测值</x:v>
      </x:c>
      <x:c r="H185" s="3" t="str">
        <x:v>不能把此任务的误差或拟合系数混入KAM证书。</x:v>
      </x:c>
      <x:c r="I185" s="3" t="str">
        <x:v>正文§5.5、Figure 2、Table 6；本节显式补充指向为Supplement S7.6；学习模型的full-FE拟合资料另见§3.4/S5.5 本轮定位：S03/S04，sections/s_path.tex（固定commit）。</x:v>
      </x:c>
      <x:c r="J185" s="3" t="str">
        <x:v>用研究目的、敏感性/收敛比较支持此设置；其数值不需伪装为材料或器件实测值。</x:v>
      </x:c>
      <x:c r="K185" s="3" t="str"/>
    </x:row>
    <x:row r="186" ht="85" customHeight="1">
      <x:c r="A186" s="3" t="str">
        <x:v>N180</x:v>
      </x:c>
      <x:c r="B186" s="3" t="str">
        <x:v>p13 / 5.5</x:v>
      </x:c>
      <x:c r="C186" s="3" t="str">
        <x:v>匹配比较使用的场限幅</x:v>
      </x:c>
      <x:c r="D186" s="3" t="str">
        <x:v>20</x:v>
      </x:c>
      <x:c r="E186" s="3" t="str">
        <x:v>mT</x:v>
      </x:c>
      <x:c r="F186" s="3" t="str">
        <x:v>作者选择</x:v>
      </x:c>
      <x:c r="G186" s="3" t="str">
        <x:v>作者设定；可追溯至原稿/补充协议，非外部实测值</x:v>
      </x:c>
      <x:c r="H186" s="3" t="str">
        <x:v>20 mT是横向分量命令限。与30 mT偏置合成总模36.056 mT；场/梯度联合可达性与带宽仍须单独确认。</x:v>
      </x:c>
      <x:c r="I186" s="3" t="str">
        <x:v>正文§5.5、Figure 2、Table 6；本节显式补充指向为Supplement S7.6；学习模型的full-FE拟合资料另见§3.4/S5.5 本轮定位：S03/S04，sections/s_path.tex（固定commit）。</x:v>
      </x:c>
      <x:c r="J186" s="3" t="str">
        <x:v>用研究目的、敏感性/收敛比较支持此设置；其数值不需伪装为材料或器件实测值。</x:v>
      </x:c>
      <x:c r="K186" s="3" t="str">
        <x:v>S04；L15</x:v>
      </x:c>
    </x:row>
    <x:row r="187" ht="85" customHeight="1">
      <x:c r="A187" s="3" t="str">
        <x:v>N181</x:v>
      </x:c>
      <x:c r="B187" s="3" t="str">
        <x:v>p13 / Table 6</x:v>
      </x:c>
      <x:c r="C187" s="3" t="str">
        <x:v>CHNN with tip feedback跟踪误差</x:v>
      </x:c>
      <x:c r="D187" s="3" t="str">
        <x:v>RMS 6.419; Max 12.907</x:v>
      </x:c>
      <x:c r="E187" s="3" t="str">
        <x:v>µm</x:v>
      </x:c>
      <x:c r="F187" s="3" t="str">
        <x:v>仿真输出</x:v>
      </x:c>
      <x:c r="G187" s="3" t="str">
        <x:v>原基准计算输出；已定位补充说明，本轮未逐项重跑</x:v>
      </x:c>
      <x:c r="H187" s="3" t="str">
        <x:v>RMS≤max，内部一致；此结果不优于同表quadratic或static inverse。</x:v>
      </x:c>
      <x:c r="I187" s="3" t="str">
        <x:v>正文§5.5、Figure 2、Table 6；本节显式补充指向为Supplement S7.6；学习模型的full-FE拟合资料另见§3.4/S5.5 本轮定位：S03/S04，sections/s_path.tex（固定commit）。</x:v>
      </x:c>
      <x:c r="J187" s="3" t="str">
        <x:v>采用新物理基准时须重生成轨迹、训练与对应输出；不能以文献引用替代运行。</x:v>
      </x:c>
      <x:c r="K187" s="3" t="str"/>
    </x:row>
    <x:row r="188" ht="85" customHeight="1">
      <x:c r="A188" s="3" t="str">
        <x:v>N182</x:v>
      </x:c>
      <x:c r="B188" s="3" t="str">
        <x:v>p13 / Table 6</x:v>
      </x:c>
      <x:c r="C188" s="3" t="str">
        <x:v>Quadratic with tip feedback跟踪误差</x:v>
      </x:c>
      <x:c r="D188" s="3" t="str">
        <x:v>RMS 6.207; Max 12.476</x:v>
      </x:c>
      <x:c r="E188" s="3" t="str">
        <x:v>µm</x:v>
      </x:c>
      <x:c r="F188" s="3" t="str">
        <x:v>仿真输出</x:v>
      </x:c>
      <x:c r="G188" s="3" t="str">
        <x:v>原基准计算输出；已定位补充说明，本轮未逐项重跑</x:v>
      </x:c>
      <x:c r="H188" s="3" t="str">
        <x:v>RMS≤max；较CHNN的RMS低0.212µm，须用同一采样/误差定义复核。</x:v>
      </x:c>
      <x:c r="I188" s="3" t="str">
        <x:v>正文§5.5、Figure 2、Table 6；本节显式补充指向为Supplement S7.6；学习模型的full-FE拟合资料另见§3.4/S5.5 本轮定位：S03/S04，sections/s_path.tex（固定commit）。</x:v>
      </x:c>
      <x:c r="J188" s="3" t="str">
        <x:v>采用新物理基准时须重生成轨迹、训练与对应输出；不能以文献引用替代运行。</x:v>
      </x:c>
      <x:c r="K188" s="3" t="str"/>
    </x:row>
    <x:row r="189" ht="85" customHeight="1">
      <x:c r="A189" s="3" t="str">
        <x:v>N183</x:v>
      </x:c>
      <x:c r="B189" s="3" t="str">
        <x:v>p13 / Table 6</x:v>
      </x:c>
      <x:c r="C189" s="3" t="str">
        <x:v>Static inverse feedforward跟踪误差</x:v>
      </x:c>
      <x:c r="D189" s="3" t="str">
        <x:v>RMS 4.124; Max 8.005</x:v>
      </x:c>
      <x:c r="E189" s="3" t="str">
        <x:v>µm</x:v>
      </x:c>
      <x:c r="F189" s="3" t="str">
        <x:v>仿真输出</x:v>
      </x:c>
      <x:c r="G189" s="3" t="str">
        <x:v>原基准计算输出；已定位补充说明，本轮未逐项重跑</x:v>
      </x:c>
      <x:c r="H189" s="3" t="str">
        <x:v>RMS≤max；为表中最小RMS，正文已承认已知物理逆在该慢路径更好。</x:v>
      </x:c>
      <x:c r="I189" s="3" t="str">
        <x:v>正文§5.5、Figure 2、Table 6；本节显式补充指向为Supplement S7.6；学习模型的full-FE拟合资料另见§3.4/S5.5 本轮定位：S03/S04，sections/s_path.tex（固定commit）。</x:v>
      </x:c>
      <x:c r="J189" s="3" t="str">
        <x:v>采用新物理基准时须重生成轨迹、训练与对应输出；不能以文献引用替代运行。</x:v>
      </x:c>
      <x:c r="K189" s="3" t="str"/>
    </x:row>
    <x:row r="190" ht="85" customHeight="1">
      <x:c r="A190" s="3" t="str">
        <x:v>N184</x:v>
      </x:c>
      <x:c r="B190" s="3" t="str">
        <x:v>p13 / Table 6</x:v>
      </x:c>
      <x:c r="C190" s="3" t="str">
        <x:v>CHNN with modal-output feedback跟踪误差</x:v>
      </x:c>
      <x:c r="D190" s="3" t="str">
        <x:v>RMS 25.308; Max 41.544</x:v>
      </x:c>
      <x:c r="E190" s="3" t="str">
        <x:v>µm</x:v>
      </x:c>
      <x:c r="F190" s="3" t="str">
        <x:v>仿真输出</x:v>
      </x:c>
      <x:c r="G190" s="3" t="str">
        <x:v>原基准计算输出；已定位补充说明，本轮未逐项重跑</x:v>
      </x:c>
      <x:c r="H190" s="3" t="str">
        <x:v>RMS≤max；对比tip feedback需确认除输出选择外增益/配置的匹配方式。</x:v>
      </x:c>
      <x:c r="I190" s="3" t="str">
        <x:v>正文§5.5、Figure 2、Table 6；本节显式补充指向为Supplement S7.6；学习模型的full-FE拟合资料另见§3.4/S5.5 本轮定位：S03/S04，sections/s_path.tex（固定commit）。</x:v>
      </x:c>
      <x:c r="J190" s="3" t="str">
        <x:v>采用新物理基准时须重生成轨迹、训练与对应输出；不能以文献引用替代运行。</x:v>
      </x:c>
      <x:c r="K190" s="3" t="str"/>
    </x:row>
    <x:row r="191" ht="85" customHeight="1">
      <x:c r="A191" s="3" t="str">
        <x:v>N185</x:v>
      </x:c>
      <x:c r="B191" s="3" t="str">
        <x:v>p13 / 5.5</x:v>
      </x:c>
      <x:c r="C191" s="3" t="str">
        <x:v>学习控制命令的峰值场</x:v>
      </x:c>
      <x:c r="D191" s="3" t="str">
        <x:v>12.9177</x:v>
      </x:c>
      <x:c r="E191" s="3" t="str">
        <x:v>mT</x:v>
      </x:c>
      <x:c r="F191" s="3" t="str">
        <x:v>仿真输出</x:v>
      </x:c>
      <x:c r="G191" s="3" t="str">
        <x:v>原基准计算输出；已定位补充说明，本轮未逐项重跑</x:v>
      </x:c>
      <x:c r="H191" s="3" t="str">
        <x:v>小于共同限幅20mT；这是仿真需求峰值，不是硬件实测。</x:v>
      </x:c>
      <x:c r="I191" s="3" t="str">
        <x:v>正文§5.5、Figure 2、Table 6；本节显式补充指向为Supplement S7.6；学习模型的full-FE拟合资料另见§3.4/S5.5 本轮定位：S03/S04，sections/s_path.tex（固定commit）。</x:v>
      </x:c>
      <x:c r="J191" s="3" t="str">
        <x:v>采用新物理基准时须重生成轨迹、训练与对应输出；不能以文献引用替代运行。</x:v>
      </x:c>
      <x:c r="K191" s="3" t="str"/>
    </x:row>
    <x:row r="192" ht="85" customHeight="1">
      <x:c r="A192" s="3" t="str">
        <x:v>N186</x:v>
      </x:c>
      <x:c r="B192" s="3" t="str">
        <x:v>p13 / 5.5</x:v>
      </x:c>
      <x:c r="C192" s="3" t="str">
        <x:v>S-path任务中的全中心线峰值</x:v>
      </x:c>
      <x:c r="D192" s="3" t="str">
        <x:v>1.48892</x:v>
      </x:c>
      <x:c r="E192" s="3" t="str">
        <x:v>mm</x:v>
      </x:c>
      <x:c r="F192" s="3" t="str">
        <x:v>仿真输出</x:v>
      </x:c>
      <x:c r="G192" s="3" t="str">
        <x:v>原基准计算输出；已定位补充说明，本轮未逐项重跑</x:v>
      </x:c>
      <x:c r="H192" s="3" t="str">
        <x:v>小于4mm净空；也略小于1.5mm目标极值，可能与跟踪误差相容，需轨迹核查。</x:v>
      </x:c>
      <x:c r="I192" s="3" t="str">
        <x:v>正文§5.5、Figure 2、Table 6；本节显式补充指向为Supplement S7.6；学习模型的full-FE拟合资料另见§3.4/S5.5 本轮定位：S03/S04，sections/s_path.tex（固定commit）。</x:v>
      </x:c>
      <x:c r="J192" s="3" t="str">
        <x:v>采用新物理基准时须重生成轨迹、训练与对应输出；不能以文献引用替代运行。</x:v>
      </x:c>
      <x:c r="K192" s="3" t="str"/>
    </x:row>
    <x:row r="193" ht="85" customHeight="1">
      <x:c r="A193" s="3" t="str">
        <x:v>N187</x:v>
      </x:c>
      <x:c r="B193" s="3" t="str">
        <x:v>p13 / 5.5</x:v>
      </x:c>
      <x:c r="C193" s="3" t="str">
        <x:v>记录到的work-based能量估计最大值</x:v>
      </x:c>
      <x:c r="D193" s="3" t="str">
        <x:v>4.84997</x:v>
      </x:c>
      <x:c r="E193" s="3" t="str">
        <x:v>nJ</x:v>
      </x:c>
      <x:c r="F193" s="3" t="str">
        <x:v>仿真输出</x:v>
      </x:c>
      <x:c r="G193" s="3" t="str">
        <x:v>原基准计算输出；已定位补充说明，本轮未逐项重跑</x:v>
      </x:c>
      <x:c r="H193" s="3" t="str">
        <x:v>明显低于约22.66nJ transverse cap，和governor在此任务中inactive的叙述相容。</x:v>
      </x:c>
      <x:c r="I193" s="3" t="str">
        <x:v>正文§5.5、Figure 2、Table 6；本节显式补充指向为Supplement S7.6；学习模型的full-FE拟合资料另见§3.4/S5.5 本轮定位：S03/S04，sections/s_path.tex（固定commit）。</x:v>
      </x:c>
      <x:c r="J193" s="3" t="str">
        <x:v>采用新物理基准时须重生成轨迹、训练与对应输出；不能以文献引用替代运行。</x:v>
      </x:c>
      <x:c r="K193" s="3" t="str"/>
    </x:row>
    <x:row r="194" ht="85" customHeight="1">
      <x:c r="A194" s="3" t="str">
        <x:v>N188</x:v>
      </x:c>
      <x:c r="B194" s="3" t="str">
        <x:v>p13 / 5.5</x:v>
      </x:c>
      <x:c r="C194" s="3" t="str">
        <x:v>独立COMSOL场重放与预测tip的最大差</x:v>
      </x:c>
      <x:c r="D194" s="3" t="str">
        <x:v>4.038 × 10⁻¹⁰</x:v>
      </x:c>
      <x:c r="E194" s="3" t="str">
        <x:v>m</x:v>
      </x:c>
      <x:c r="F194" s="3" t="str">
        <x:v>仿真输出</x:v>
      </x:c>
      <x:c r="G194" s="3" t="str">
        <x:v>原基准计算输出；已定位补充说明，本轮未逐项重跑</x:v>
      </x:c>
      <x:c r="H194" s="3" t="str">
        <x:v>等于0.4038nm或0.0004038µm；这是两个数值实现的重放一致性，不是设备跟踪精度或传感精度。</x:v>
      </x:c>
      <x:c r="I194" s="3" t="str">
        <x:v>正文§5.5、Figure 2、Table 6；本节显式补充指向为Supplement S7.6；学习模型的full-FE拟合资料另见§3.4/S5.5 本轮定位：S03/S04，sections/s_path.tex（固定commit）。</x:v>
      </x:c>
      <x:c r="J194" s="3" t="str">
        <x:v>采用新物理基准时须重生成轨迹、训练与对应输出；不能以文献引用替代运行。</x:v>
      </x:c>
      <x:c r="K194" s="3" t="str"/>
    </x:row>
    <x:row r="195" ht="85" customHeight="1">
      <x:c r="A195" s="3" t="str">
        <x:v>N189</x:v>
      </x:c>
      <x:c r="B195" s="3" t="str">
        <x:v>p13 / 5.5</x:v>
      </x:c>
      <x:c r="C195" s="3" t="str">
        <x:v>基座运动与能量记账所需但正文未明示参数</x:v>
      </x:c>
      <x:c r="D195" s="3" t="str">
        <x:v>基座加/减速函数、切换时刻、质量、初始动能等未在本节给具体数值</x:v>
      </x:c>
      <x:c r="E195" s="3" t="str">
        <x:v>未给</x:v>
      </x:c>
      <x:c r="F195" s="12" t="str">
        <x:v>缺失基础参数</x:v>
      </x:c>
      <x:c r="G195" s="12" t="str">
        <x:v>基座运动、质量与能量公式已补；未声明制动过程</x:v>
      </x:c>
      <x:c r="H195" s="3" t="str">
        <x:v>S7.6给0-1s五次多项式速度ramp至4mm/s，此后恒速；弯曲2-14s，48mm轴向行程，无制动。mb=rho*Ac*L，初始动能0，峰值动能.796205nJ；基座功由mb*bddot*bdot独立记账。</x:v>
      </x:c>
      <x:c r="I195" s="3" t="str">
        <x:v>S04固定commit：sections/s_path.tex S7.6</x:v>
      </x:c>
      <x:c r="J195" s="3" t="str">
        <x:v>此S形Python运行基础rtol/atol和maxstep具体值（文字只给细化比较）；若提出实际器件版本，磁体/夹具/载台质量和真实轴向摩擦等需另立参数与功预算</x:v>
      </x:c>
      <x:c r="K195" s="3" t="str">
        <x:v>S04</x:v>
      </x:c>
    </x:row>
    <x:row r="196" ht="115" customHeight="1">
      <x:c r="A196" s="3" t="str">
        <x:v>N190</x:v>
      </x:c>
      <x:c r="B196" s="3" t="str">
        <x:v>p1–3 / Abstract; 1.2</x:v>
      </x:c>
      <x:c r="C196" s="3" t="str">
        <x:v>有限振幅KAM环面的摘要近似振幅</x:v>
      </x:c>
      <x:c r="D196" s="3" t="str">
        <x:v>approximately 1.9</x:v>
      </x:c>
      <x:c r="E196" s="3" t="str">
        <x:v>mm</x:v>
      </x:c>
      <x:c r="F196" s="11" t="str">
        <x:v>公式派生</x:v>
      </x:c>
      <x:c r="G196" s="3" t="str">
        <x:v>已有严格界的摘要近似表述；不属于独立的新参数或新测量</x:v>
      </x:c>
      <x:c r="H196" s="3" t="str">
        <x:v>1.8977904–1.8977962 mm按一位小数概述为约1.9 mm一致；不应将1.9解读成另一项严格下界。</x:v>
      </x:c>
      <x:c r="I196" s="3" t="str">
        <x:v>正文§4.3 Theorem 2给低模态tip可达下界1.8977904 mm及中心线上界1.8977962 mm；解析证书指向Supplementary Section S4.3，拟合函数见S4.5。 本轮定位：S03/S04，sections/full_fe_kam_control.tex（固定commit）。</x:v>
      </x:c>
      <x:c r="J196" s="3" t="str">
        <x:v>同§4.3原始Fourier/区间证书；无需另一工程来源。</x:v>
      </x:c>
      <x:c r="K196" s="3" t="str"/>
    </x:row>
    <x:row r="197" ht="85" customHeight="1">
      <x:c r="A197" s="3" t="str">
        <x:v>N191</x:v>
      </x:c>
      <x:c r="B197" s="3" t="str">
        <x:v>p1–4 / Abstract; 1.3</x:v>
      </x:c>
      <x:c r="C197" s="3" t="str">
        <x:v>零高模态startup全中心线界的摘要外向取整</x:v>
      </x:c>
      <x:c r="D197" s="3" t="str">
        <x:v>&lt;1.971</x:v>
      </x:c>
      <x:c r="E197" s="3" t="str">
        <x:v>mm</x:v>
      </x:c>
      <x:c r="F197" s="11" t="str">
        <x:v>公式派生</x:v>
      </x:c>
      <x:c r="G197" s="3" t="str">
        <x:v>既有上界的保守向外取整；不是独立实验结果</x:v>
      </x:c>
      <x:c r="H197" s="3" t="str">
        <x:v>1.970263&lt;1.971；这里是保守外向取整，不是最近数四舍五入（最近三位小数是1.970）。</x:v>
      </x:c>
      <x:c r="I197" s="3" t="str">
        <x:v>§5.1 Table 5完整值1.970263 mm；Supplement S6.2给response与startup estimates。 本轮定位：S03/S04，sections/full_fe_kam_control.tex（固定commit）。</x:v>
      </x:c>
      <x:c r="J197" s="3" t="str">
        <x:v>同Table 5/S6.2证书。</x:v>
      </x:c>
      <x:c r="K197" s="3" t="str"/>
    </x:row>
    <x:row r="198" ht="70" customHeight="1">
      <x:c r="A198" s="3" t="str">
        <x:v>N192</x:v>
      </x:c>
      <x:c r="B198" s="3" t="str">
        <x:v>p4 / 1.3</x:v>
      </x:c>
      <x:c r="C198" s="3" t="str">
        <x:v>startup横向磁场界的摘要外向取整</x:v>
      </x:c>
      <x:c r="D198" s="3" t="str">
        <x:v>&lt;0.922</x:v>
      </x:c>
      <x:c r="E198" s="3" t="str">
        <x:v>mT</x:v>
      </x:c>
      <x:c r="F198" s="11" t="str">
        <x:v>公式派生</x:v>
      </x:c>
      <x:c r="G198" s="3" t="str">
        <x:v>已有认证上界的摘要取整；无独立外部数据来源</x:v>
      </x:c>
      <x:c r="H198" s="3" t="str">
        <x:v>0.921665&lt;0.922，与所述上界一致。</x:v>
      </x:c>
      <x:c r="I198" s="3" t="str">
        <x:v>§5.1 Table 5完整值0.921665 mT；Supplement S6.2。 本轮定位：S03/S04，sections/full_fe_kam_control.tex（固定commit）。</x:v>
      </x:c>
      <x:c r="J198" s="3" t="str">
        <x:v>同Table 5/S6.2磁命令证书。</x:v>
      </x:c>
      <x:c r="K198" s="3" t="str"/>
    </x:row>
    <x:row r="199" ht="70" customHeight="1">
      <x:c r="A199" s="3" t="str">
        <x:v>N193</x:v>
      </x:c>
      <x:c r="B199" s="3" t="str">
        <x:v>p4 / 1.3</x:v>
      </x:c>
      <x:c r="C199" s="3" t="str">
        <x:v>startup磁场梯度范数界的摘要外向取整</x:v>
      </x:c>
      <x:c r="D199" s="3" t="str">
        <x:v>&lt;0.02573</x:v>
      </x:c>
      <x:c r="E199" s="3" t="str">
        <x:v>T/m</x:v>
      </x:c>
      <x:c r="F199" s="11" t="str">
        <x:v>公式派生</x:v>
      </x:c>
      <x:c r="G199" s="3" t="str">
        <x:v>已有认证上界的摘要取整；无独立外部数据来源</x:v>
      </x:c>
      <x:c r="H199" s="3" t="str">
        <x:v>0.02572538&lt;0.02573，与严格界方向一致。</x:v>
      </x:c>
      <x:c r="I199" s="3" t="str">
        <x:v>§5.1 Table 5完整值0.02572538 T/m；Supplement S6.2。 本轮定位：S03/S04，sections/full_fe_kam_control.tex（固定commit）。</x:v>
      </x:c>
      <x:c r="J199" s="3" t="str">
        <x:v>同Table 5/S6.2磁命令证书。</x:v>
      </x:c>
      <x:c r="K199" s="3" t="str"/>
    </x:row>
    <x:row r="200" ht="70" customHeight="1">
      <x:c r="A200" s="3" t="str">
        <x:v>N194</x:v>
      </x:c>
      <x:c r="B200" s="3" t="str">
        <x:v>p4–5 / 2.1–2.2</x:v>
      </x:c>
      <x:c r="C200" s="3" t="str">
        <x:v>圆截面与二次能量的固定系数</x:v>
      </x:c>
      <x:c r="D200" s="3" t="str">
        <x:v>Ac=πr_c²；I=πr_c⁴/4；动能、弹性能和Rayleigh函数中的1/2</x:v>
      </x:c>
      <x:c r="E200" s="3" t="str">
        <x:v>数学系数/无量纲</x:v>
      </x:c>
      <x:c r="F200" s="11" t="str">
        <x:v>公式派生</x:v>
      </x:c>
      <x:c r="G200" s="3" t="str">
        <x:v>可按公式推导；不需要另找材料赋值来源</x:v>
      </x:c>
      <x:c r="H200" s="3" t="str">
        <x:v>π、1/4来自圆截面积与截面二次矩积分；1/2来自二次型的能量定义。</x:v>
      </x:c>
      <x:c r="I200" s="3" t="str">
        <x:v>正文相应公式；由定义、展开或代数运算产生，不是文献/设备的实测参数。 本轮定位：S03/S04，sections/unified_model.tex（固定commit）。</x:v>
      </x:c>
      <x:c r="J200" s="3" t="str">
        <x:v>完整推导；若验证具体数值运行，另需对应配置和原始模型。</x:v>
      </x:c>
      <x:c r="K200" s="3" t="str"/>
    </x:row>
    <x:row r="201" ht="70" customHeight="1">
      <x:c r="A201" s="3" t="str">
        <x:v>N195</x:v>
      </x:c>
      <x:c r="B201" s="3" t="str">
        <x:v>p5 / 2.2</x:v>
      </x:c>
      <x:c r="C201" s="3" t="str">
        <x:v>复正则变换的固定系数</x:v>
      </x:c>
      <x:c r="D201" s="3" t="str">
        <x:v>z=(X+iY)/√2；磁势二次扣除系数1/4</x:v>
      </x:c>
      <x:c r="E201" s="3" t="str">
        <x:v>数学系数/无量纲</x:v>
      </x:c>
      <x:c r="F201" s="11" t="str">
        <x:v>公式派生</x:v>
      </x:c>
      <x:c r="G201" s="3" t="str">
        <x:v>可按公式推导；不需要另找材料赋值来源</x:v>
      </x:c>
      <x:c r="H201" s="3" t="str">
        <x:v>由实正则坐标换元直接得到；需保持文中复坐标和Wirtinger导数约定。</x:v>
      </x:c>
      <x:c r="I201" s="3" t="str">
        <x:v>正文相应公式；由定义、展开或代数运算产生，不是文献/设备的实测参数。 本轮定位：S03/S04，sections/unified_model.tex（固定commit）。</x:v>
      </x:c>
      <x:c r="J201" s="3" t="str">
        <x:v>完整推导；若验证具体数值运行，另需对应配置和原始模型。</x:v>
      </x:c>
      <x:c r="K201" s="3" t="str"/>
    </x:row>
    <x:row r="202" ht="85" customHeight="1">
      <x:c r="A202" s="3" t="str">
        <x:v>N196</x:v>
      </x:c>
      <x:c r="B202" s="3" t="str">
        <x:v>p5–6 / 3.1</x:v>
      </x:c>
      <x:c r="C202" s="3" t="str">
        <x:v>时间中点展开系数</x:v>
      </x:c>
      <x:c r="D202" s="3" t="str">
        <x:v>1/8、1/24；端点中点换元后的−2/24</x:v>
      </x:c>
      <x:c r="E202" s="3" t="str">
        <x:v>数学系数/无量纲</x:v>
      </x:c>
      <x:c r="F202" s="11" t="str">
        <x:v>公式派生</x:v>
      </x:c>
      <x:c r="G202" s="3" t="str">
        <x:v>可按公式推导；不需要另找材料赋值来源</x:v>
      </x:c>
      <x:c r="H202" s="3" t="str">
        <x:v>来自Taylor展开及消去真实时间中点，非经验调参。</x:v>
      </x:c>
      <x:c r="I202" s="3" t="str">
        <x:v>正文相应公式；由定义、展开或代数运算产生，不是文献/设备的实测参数。 本轮定位：S03/S04，sections/supplement.tex / S8–S9（固定commit）。</x:v>
      </x:c>
      <x:c r="J202" s="3" t="str">
        <x:v>完整推导；若验证具体数值运行，另需对应配置和原始模型。</x:v>
      </x:c>
      <x:c r="K202" s="3" t="str"/>
    </x:row>
    <x:row r="203" ht="85" customHeight="1">
      <x:c r="A203" s="3" t="str">
        <x:v>N197</x:v>
      </x:c>
      <x:c r="B203" s="3" t="str">
        <x:v>p6 / 3.1</x:v>
      </x:c>
      <x:c r="C203" s="3" t="str">
        <x:v>Central4生成函数与相位展开系数</x:v>
      </x:c>
      <x:c r="D203" s="3" t="str">
        <x:v>生成函数修正1/24；Newton/中点系数1/2；a=z+z³/12；相位z−z⁵/120；midpoint相位z−z³/12</x:v>
      </x:c>
      <x:c r="E203" s="3" t="str">
        <x:v>数学系数/无量纲</x:v>
      </x:c>
      <x:c r="F203" s="11" t="str">
        <x:v>公式派生</x:v>
      </x:c>
      <x:c r="G203" s="3" t="str">
        <x:v>可按公式推导；不需要另找材料赋值来源</x:v>
      </x:c>
      <x:c r="H203" s="3" t="str">
        <x:v>由生成函数和arctan级数复算。阶数为算法数学性质，不是工程材料来源。</x:v>
      </x:c>
      <x:c r="I203" s="3" t="str">
        <x:v>正文相应公式；由定义、展开或代数运算产生，不是文献/设备的实测参数。 本轮定位：S03/S04，sections/supplement.tex / S8–S9（固定commit）。</x:v>
      </x:c>
      <x:c r="J203" s="3" t="str">
        <x:v>完整推导；若验证具体数值运行，另需对应配置和原始模型。</x:v>
      </x:c>
      <x:c r="K203" s="3" t="str"/>
    </x:row>
    <x:row r="204" ht="85" customHeight="1">
      <x:c r="A204" s="3" t="str">
        <x:v>N198</x:v>
      </x:c>
      <x:c r="B204" s="3" t="str">
        <x:v>p6 / 3.2</x:v>
      </x:c>
      <x:c r="C204" s="3" t="str">
        <x:v>复数特征中乘法的极化恒等式</x:v>
      </x:c>
      <x:c r="D204" s="3" t="str">
        <x:v>uv=[(u+v)²−(u−v)²]/4</x:v>
      </x:c>
      <x:c r="E204" s="3" t="str">
        <x:v>数学系数/无量纲</x:v>
      </x:c>
      <x:c r="F204" s="11" t="str">
        <x:v>公式派生</x:v>
      </x:c>
      <x:c r="G204" s="3" t="str">
        <x:v>可按公式推导；不需要另找材料赋值来源</x:v>
      </x:c>
      <x:c r="H204" s="3" t="str">
        <x:v>展开平方即可核验；1/4无自由选择。</x:v>
      </x:c>
      <x:c r="I204" s="3" t="str">
        <x:v>正文相应公式；由定义、展开或代数运算产生，不是文献/设备的实测参数。 本轮定位：S03/S04，sections/unified_experiments.tex（固定commit）。</x:v>
      </x:c>
      <x:c r="J204" s="3" t="str">
        <x:v>完整推导；若验证具体数值运行，另需对应配置和原始模型。</x:v>
      </x:c>
      <x:c r="K204" s="3" t="str"/>
    </x:row>
    <x:row r="205" ht="85" customHeight="1">
      <x:c r="A205" s="3" t="str">
        <x:v>N199</x:v>
      </x:c>
      <x:c r="B205" s="3" t="str">
        <x:v>p7–8 / 3.2 / 4.1</x:v>
      </x:c>
      <x:c r="C205" s="3" t="str">
        <x:v>回归均方与Gram归一化系数</x:v>
      </x:c>
      <x:c r="D205" s="3" t="str">
        <x:v>1/N；1/(4m)</x:v>
      </x:c>
      <x:c r="E205" s="3" t="str">
        <x:v>数学系数/无量纲</x:v>
      </x:c>
      <x:c r="F205" s="11" t="str">
        <x:v>公式派生</x:v>
      </x:c>
      <x:c r="G205" s="3" t="str">
        <x:v>可按公式推导；不需要另找材料赋值来源</x:v>
      </x:c>
      <x:c r="H205" s="3" t="str">
        <x:v>前者按N个向量样本定义，后者按每轨迹4个标量积分方程定义，统计口径应与各自残差一致。</x:v>
      </x:c>
      <x:c r="I205" s="3" t="str">
        <x:v>正文相应公式；由定义、展开或代数运算产生，不是文献/设备的实测参数。 本轮定位：S03/S04，sections/unified_experiments.tex（固定commit）。</x:v>
      </x:c>
      <x:c r="J205" s="3" t="str">
        <x:v>完整推导；若验证具体数值运行，另需对应配置和原始模型。</x:v>
      </x:c>
      <x:c r="K205" s="3" t="str"/>
    </x:row>
    <x:row r="206" ht="85" customHeight="1">
      <x:c r="A206" s="3" t="str">
        <x:v>N200</x:v>
      </x:c>
      <x:c r="B206" s="3" t="str">
        <x:v>p6 / 3.2 Eq. (20)</x:v>
      </x:c>
      <x:c r="C206" s="3" t="str">
        <x:v>精确物理目标在特征类中的系数</x:v>
      </x:c>
      <x:c r="D206" s="3" t="str">
        <x:v>a=1，c=0</x:v>
      </x:c>
      <x:c r="E206" s="3" t="str">
        <x:v>数学系数/无量纲</x:v>
      </x:c>
      <x:c r="F206" s="11" t="str">
        <x:v>公式派生</x:v>
      </x:c>
      <x:c r="G206" s="3" t="str">
        <x:v>可按公式推导；不需要另找材料赋值来源</x:v>
      </x:c>
      <x:c r="H206" s="3" t="str">
        <x:v>由h*=h2+g(dᵀX)与特征类定义决定；是目标模型定义，不是训练拟合值。</x:v>
      </x:c>
      <x:c r="I206" s="3" t="str">
        <x:v>正文相应公式；由定义、展开或代数运算产生，不是文献/设备的实测参数。 本轮定位：S03/S04，sections/unified_experiments.tex（固定commit）。</x:v>
      </x:c>
      <x:c r="J206" s="3" t="str">
        <x:v>完整推导；若验证具体数值运行，另需对应配置和原始模型。</x:v>
      </x:c>
      <x:c r="K206" s="3" t="str"/>
    </x:row>
    <x:row r="207" ht="70" customHeight="1">
      <x:c r="A207" s="3" t="str">
        <x:v>N201</x:v>
      </x:c>
      <x:c r="B207" s="3" t="str">
        <x:v>p11–12 / 5.3 Eqs. (31)–(32)</x:v>
      </x:c>
      <x:c r="C207" s="3" t="str">
        <x:v>能量—中心线界的固定系数</x:v>
      </x:c>
      <x:c r="D207" s="3" t="str">
        <x:v>|w|²≤2L³E/(3EI)；Ec=3EI c²/(2L³)</x:v>
      </x:c>
      <x:c r="E207" s="3" t="str">
        <x:v>数学系数/无量纲</x:v>
      </x:c>
      <x:c r="F207" s="11" t="str">
        <x:v>公式派生</x:v>
      </x:c>
      <x:c r="G207" s="3" t="str">
        <x:v>可按公式推导；不需要另找材料赋值来源</x:v>
      </x:c>
      <x:c r="H207" s="3" t="str">
        <x:v>对夹持梁w(s)=∫₀ˢ(s−ξ)w″(ξ)dξ用Cauchy–Schwarz得到s³/3，并结合弯曲能的1/2；2和3来自推导。</x:v>
      </x:c>
      <x:c r="I207" s="3" t="str">
        <x:v>正文相应公式；由定义、展开或代数运算产生，不是文献/设备的实测参数。 本轮定位：S03/S04，sections/unified_safety.tex（固定commit）。</x:v>
      </x:c>
      <x:c r="J207" s="3" t="str">
        <x:v>完整推导；若验证具体数值运行，另需对应配置和原始模型。</x:v>
      </x:c>
      <x:c r="K207" s="3" t="str"/>
    </x:row>
  </x:sheetData>
  <x:pageMargins left="0.7" right="0.7" top="0.75" bottom="0.75" header="0.3" footer="0.3"/>
  <x:tableParts count="1">
    <x:tablePart xmlns:r="http://schemas.openxmlformats.org/officeDocument/2006/relationships" r:id="R61b3aad95d5d4c95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1" max="1" width="7" hidden="0" customWidth="1"/>
    <x:col min="2" max="2" width="33" hidden="0" customWidth="1"/>
    <x:col min="3" max="3" width="23.5" hidden="0" customWidth="1"/>
    <x:col min="4" max="4" width="46" hidden="0" customWidth="1"/>
    <x:col min="5" max="5" width="51" hidden="0" customWidth="1"/>
    <x:col min="6" max="6" width="25" hidden="0" customWidth="1"/>
    <x:col min="7" max="7" width="52" hidden="0" customWidth="1"/>
  </x:cols>
  <x:sheetData>
    <x:row r="1" ht="30" customHeight="1">
      <x:c r="A1" s="5" t="str">
        <x:v>文献与工程材料对照</x:v>
      </x:c>
      <x:c r="B1" s="5"/>
      <x:c r="C1" s="5"/>
      <x:c r="D1" s="5"/>
      <x:c r="E1" s="5"/>
      <x:c r="F1" s="5"/>
      <x:c r="G1" s="5"/>
    </x:row>
    <x:row r="2" ht="22" customHeight="1">
      <x:c r="A2" s="7" t="str">
        <x:v>核对的是具体参数是否有对应出处；理论参考、量级相近及直接取值来源是不同证据。</x:v>
      </x:c>
      <x:c r="B2" s="7"/>
      <x:c r="C2" s="7"/>
      <x:c r="D2" s="7"/>
      <x:c r="E2" s="7"/>
      <x:c r="F2" s="7"/>
      <x:c r="G2" s="7"/>
    </x:row>
    <x:row r="3" ht="22" customHeight="1">
      <x:c r="A3" s="7" t="str">
        <x:v>新增的外部来源支持新仿真基准；不据此追认原稿示例参数原先来自这些文献。</x:v>
      </x:c>
      <x:c r="B3" s="7"/>
      <x:c r="C3" s="7"/>
      <x:c r="D3" s="7"/>
      <x:c r="E3" s="7"/>
      <x:c r="F3" s="7"/>
      <x:c r="G3" s="7"/>
    </x:row>
    <x:row r="4" ht="22" customHeight="1">
      <x:c r="A4" s="7" t="str">
        <x:v>Tong半径匹配但长度不同；Kim的0.6mm为外径；Francescon给真实线圈型号，但不等于本文执行器。</x:v>
      </x:c>
      <x:c r="B4" s="7"/>
      <x:c r="C4" s="7"/>
      <x:c r="D4" s="7"/>
      <x:c r="E4" s="7"/>
      <x:c r="F4" s="7"/>
      <x:c r="G4" s="7"/>
    </x:row>
    <x:row r="5" ht="22" customHeight="1">
      <x:c r="A5" s="7" t="str">
        <x:v>核验日期：2026-10-28。本文数值/设计、材料实测、厂家规格和公式推算分别记录。</x:v>
      </x:c>
      <x:c r="B5" s="7"/>
      <x:c r="C5" s="7"/>
      <x:c r="D5" s="7"/>
      <x:c r="E5" s="7"/>
      <x:c r="F5" s="7"/>
      <x:c r="G5" s="7"/>
    </x:row>
    <x:row r="6" ht="30" customHeight="1">
      <x:c r="A6" s="10" t="str">
        <x:v>编号</x:v>
      </x:c>
      <x:c r="B6" s="10" t="str">
        <x:v>文献/材料</x:v>
      </x:c>
      <x:c r="C6" s="10" t="str">
        <x:v>核验位置</x:v>
      </x:c>
      <x:c r="D6" s="10" t="str">
        <x:v>实际参数/内容</x:v>
      </x:c>
      <x:c r="E6" s="10" t="str">
        <x:v>与本文的关系和边界</x:v>
      </x:c>
      <x:c r="F6" s="10" t="str">
        <x:v>当前核验状态</x:v>
      </x:c>
      <x:c r="G6" s="10" t="str">
        <x:v>原始来源链接/位置</x:v>
      </x:c>
    </x:row>
    <x:row r="7" ht="44" customHeight="1">
      <x:c r="A7" s="3" t="str">
        <x:v>S01</x:v>
      </x:c>
      <x:c r="B7" s="3" t="str">
        <x:v>用户提供的 main.pdf（15页）</x:v>
      </x:c>
      <x:c r="C7" s="3" t="str">
        <x:v>§2.1、§3–5及p14数据声明</x:v>
      </x:c>
      <x:c r="D7" s="3" t="str">
        <x:v>正文为数学分析与计算生成机械数据。材料和磁场参数指向Supplementary Table S1。</x:v>
      </x:c>
      <x:c r="E7" s="3" t="str">
        <x:v>本轮已取得Supplement、章节源码及上游参数JSON。核心物性在补充表中明确称为示例，非临床或航天器件实测。</x:v>
      </x:c>
      <x:c r="F7" s="3" t="str">
        <x:v>正文及补充材料已定位</x:v>
      </x:c>
      <x:c r="G7" s="3" t="str">
        <x:v>本次上传的main.pdf；页码采用PDF实际页码</x:v>
      </x:c>
    </x:row>
    <x:row r="8" ht="55" customHeight="1">
      <x:c r="A8" s="3" t="str">
        <x:v>S02</x:v>
      </x:c>
      <x:c r="B8" s="3" t="str">
        <x:v>原稿声称提供的Archive S1 / S2</x:v>
      </x:c>
      <x:c r="C8" s="3" t="str">
        <x:v>p14 Data and code availability</x:v>
      </x:c>
      <x:c r="D8" s="3" t="str">
        <x:v>已访问固定commit公开仓库、ARTIFACT_INDEX与部分已提供S2/模型包；完整S1压缩包约808 MB，未下载。</x:v>
      </x:c>
      <x:c r="E8" s="3" t="str">
        <x:v>访问源码不等于全部原始档案/证书已验证；仅对本轮新基准另行复算。</x:v>
      </x:c>
      <x:c r="F8" s="3" t="str">
        <x:v>公开源码已取得；完整S1未下载</x:v>
      </x:c>
      <x:c r="G8" s="3" t="str">
        <x:v>https://github.com/mop74720-commits/IJRR_CHNN_KAM_v10_20261007/tree/82519542dd057e8fbd6d6879ef33217761e8cbbb</x:v>
      </x:c>
    </x:row>
    <x:row r="9" ht="70" customHeight="1">
      <x:c r="A9" s="3" t="str">
        <x:v>L01</x:v>
      </x:c>
      <x:c r="B9" s="3" t="str">
        <x:v>Tong et al. (2025), Real-time simulation enabled navigation control of magnetic soft continuum robots in confined lumens</x:v>
      </x:c>
      <x:c r="C9" s="3" t="str">
        <x:v>作者预印本§5.1</x:v>
      </x:c>
      <x:c r="D9" s="3" t="str">
        <x:v>总长100mm，半径0.6mm；磁化端5mm。磁复合材料实测E=3.0MPa、G=1.0MPa。</x:v>
      </x:c>
      <x:c r="E9" s="3" t="str">
        <x:v>仅作几何/软磁杆背景：文中总长100 mm、磁化段5 mm，单位长度磁矩.1448 A·m积分得7.24e−4 A·m²；不是本稿整套参数。</x:v>
      </x:c>
      <x:c r="F9" s="3" t="str">
        <x:v>已核作者原文</x:v>
      </x:c>
      <x:c r="G9" s="3" t="str">
        <x:v>https://arxiv.org/html/2503.08864v1</x:v>
      </x:c>
    </x:row>
    <x:row r="10" ht="70" customHeight="1">
      <x:c r="A10" s="3" t="str">
        <x:v>L02</x:v>
      </x:c>
      <x:c r="B10" s="3" t="str">
        <x:v>Francescon et al. (2025), Closed-Loop Shape-Forming Control of a Magnetic Soft Continuum Robot</x:v>
      </x:c>
      <x:c r="C10" s="3" t="str">
        <x:v>作者接收稿§IV.A–B</x:v>
      </x:c>
      <x:c r="D10" s="3" t="str">
        <x:v>样机长50mm、外径1.8mm；有效弯曲模量500kPa。3DXHC12.5-300线圈系统给出各轴最高25mT。</x:v>
      </x:c>
      <x:c r="E10" s="3" t="str">
        <x:v>可作尺寸、场强量级和真实装置资料的对照；不能证明本文80mm梁、5MPa、独立梯度控制或指定误差容差。</x:v>
      </x:c>
      <x:c r="F10" s="3" t="str">
        <x:v>已核机构仓储作者稿</x:v>
      </x:c>
      <x:c r="G10" s="3" t="str">
        <x:v>https://eprints.whiterose.ac.uk/id/eprint/227177/1/24-3637_final_manuscript.pdf</x:v>
      </x:c>
    </x:row>
    <x:row r="11" ht="55" customHeight="1">
      <x:c r="A11" s="3" t="str">
        <x:v>L03</x:v>
      </x:c>
      <x:c r="B11" s="3" t="str">
        <x:v>Kim et al. (2019), Ferromagnetic soft continuum robots</x:v>
      </x:c>
      <x:c r="C11" s="3" t="str">
        <x:v>作者本人上传论文：Methods与Movie S1/S3/S4</x:v>
      </x:c>
      <x:c r="D11" s="3" t="str">
        <x:v>演示样机外径600µm（0.6mm），不是半径。软端材料G=455.6kPa，按E≈3G得E=1366.8kPa。演示场20–80mT；磁体工作距离40–80mm。</x:v>
      </x:c>
      <x:c r="E11" s="3" t="str">
        <x:v>不能把外径0.6mm当本文半径0.6mm，也不能把磁体工作距离80mm当本文梁长。没有建立E0或α的直接出处。</x:v>
      </x:c>
      <x:c r="F11" s="3" t="str">
        <x:v>已核作者上传原文；注意网页µm抽取差错</x:v>
      </x:c>
      <x:c r="G11" s="3" t="str">
        <x:v>https://www.researchgate.net/publication/335455581_Ferromagnetic_soft_continuum_robots</x:v>
      </x:c>
    </x:row>
    <x:row r="12" ht="44" customHeight="1">
      <x:c r="A12" s="3" t="str">
        <x:v>L04</x:v>
      </x:c>
      <x:c r="B12" s="3" t="str">
        <x:v>Abbott, Diller &amp; Petruska (2020), Magnetic Methods in Robotics</x:v>
      </x:c>
      <x:c r="C12" s="3" t="str">
        <x:v>作者实验室公开论文</x:v>
      </x:c>
      <x:c r="D12" s="3" t="str">
        <x:v>介绍磁场、磁矩、力/力矩、场与梯度发生系统。</x:v>
      </x:c>
      <x:c r="E12" s="3" t="str">
        <x:v>支持磁操纵框架；不提供本稿专用的μ、B0、α及传感/执行误差预算。</x:v>
      </x:c>
      <x:c r="F12" s="3" t="str">
        <x:v>已核作者实验室原文</x:v>
      </x:c>
      <x:c r="G12" s="3" t="str">
        <x:v>https://mmrobotics.mech.utah.edu/wp-content/uploads/2023/01/Abbott_ARCRAS20.pdf</x:v>
      </x:c>
    </x:row>
    <x:row r="13" ht="70" customHeight="1">
      <x:c r="A13" s="3" t="str">
        <x:v>L05</x:v>
      </x:c>
      <x:c r="B13" s="3" t="str">
        <x:v>Haro &amp; Luque (2019), A-posteriori KAM theory with optimal estimates for partially integrable systems</x:v>
      </x:c>
      <x:c r="C13" s="3" t="str">
        <x:v>arXiv:1711.05515v1, Theorem 3.1及Appendix B</x:v>
      </x:c>
      <x:c r="D13" s="3" t="str">
        <x:v>给定假设下的通用后验门槛及常数计算规则。</x:v>
      </x:c>
      <x:c r="E13" s="3" t="str">
        <x:v>9/1750、1/40、512bit、80526、10^-77残差等是本稿频率/域选择或计算结果，不是该定理预设的导管数值。</x:v>
      </x:c>
      <x:c r="F13" s="3" t="str">
        <x:v>已核原稿指定预印本版本</x:v>
      </x:c>
      <x:c r="G13" s="3" t="str">
        <x:v>https://arxiv.org/pdf/1711.05515v1</x:v>
      </x:c>
    </x:row>
    <x:row r="14" ht="55" customHeight="1">
      <x:c r="A14" s="3" t="str">
        <x:v>L06</x:v>
      </x:c>
      <x:c r="B14" s="3" t="str">
        <x:v>Bounemoura (2016), Non-degenerate Liouville tori are KAM stable</x:v>
      </x:c>
      <x:c r="C14" s="3" t="str">
        <x:v>arXiv:1412.0509v1, Theorem 6</x:v>
      </x:c>
      <x:c r="D14" s="3" t="str">
        <x:v>非共振与非退化条件下的环面邻域结论；α=1为解析正则性指数。</x:v>
      </x:c>
      <x:c r="E14" s="3" t="str">
        <x:v>此α不是本稿质量比例阻尼α=0.55558524。没有直接给出本稿幅值、torsion或采样比例。</x:v>
      </x:c>
      <x:c r="F14" s="3" t="str">
        <x:v>已核原稿指定版本</x:v>
      </x:c>
      <x:c r="G14" s="3" t="str">
        <x:v>https://arxiv.org/html/1412.0509v1</x:v>
      </x:c>
    </x:row>
    <x:row r="15" ht="55" customHeight="1">
      <x:c r="A15" s="3" t="str">
        <x:v>L07</x:v>
      </x:c>
      <x:c r="B15" s="3" t="str">
        <x:v>Bounemoura (2020), Positive measure of KAM tori for finitely differentiable Hamiltonians</x:v>
      </x:c>
      <x:c r="C15" s="3" t="str">
        <x:v>Theorem A</x:v>
      </x:c>
      <x:c r="D15" s="3" t="str">
        <x:v>通用正则性与小扰动条件。</x:v>
      </x:c>
      <x:c r="E15" s="3" t="str">
        <x:v>不能为本文特定训练误差、参数精度或硬件容差直接背书。</x:v>
      </x:c>
      <x:c r="F15" s="3" t="str">
        <x:v>已核原文</x:v>
      </x:c>
      <x:c r="G15" s="3" t="str">
        <x:v>https://arxiv.org/html/1812.03067v2</x:v>
      </x:c>
    </x:row>
    <x:row r="16" ht="55" customHeight="1">
      <x:c r="A16" s="3" t="str">
        <x:v>L08</x:v>
      </x:c>
      <x:c r="B16" s="3" t="str">
        <x:v>Chen, Matsubara &amp; Yaguchi (2022), KAM Theory Meets Statistical Learning Theory</x:v>
      </x:c>
      <x:c r="C16" s="3" t="str">
        <x:v>AAAI官方论文页面及论文</x:v>
      </x:c>
      <x:c r="D16" s="3" t="str">
        <x:v>在明确采样与正则性假设下联系非零训练误差与KAM理论。</x:v>
      </x:c>
      <x:c r="E16" s="3" t="str">
        <x:v>提供理论路径；本文Table4使用自己的相关轨迹积分证书，数值仍需本文数据和算法。</x:v>
      </x:c>
      <x:c r="F16" s="3" t="str">
        <x:v>已核官方论文来源；非本稿原始数值来源</x:v>
      </x:c>
      <x:c r="G16" s="3" t="str">
        <x:v>https://ojs.aaai.org/index.php/AAAI/article/view/20582</x:v>
      </x:c>
    </x:row>
    <x:row r="17" ht="70" customHeight="1">
      <x:c r="A17" s="3" t="str">
        <x:v>L09</x:v>
      </x:c>
      <x:c r="B17" s="3" t="str">
        <x:v>Feng et al. (1989), Construction of canonical difference schemes for Hamiltonian formalism via generating functions</x:v>
      </x:c>
      <x:c r="C17" s="3" t="str">
        <x:v>期刊官方论文；本稿引用Theorems17–18、23–24</x:v>
      </x:c>
      <x:c r="D17" s="3" t="str">
        <x:v>生成函数构造正则差分格式的数学框架。</x:v>
      </x:c>
      <x:c r="E17" s="3" t="str">
        <x:v>理论解释结构与阶数；Table2实际误差、步长、迭代残差由本文运行产生。</x:v>
      </x:c>
      <x:c r="F17" s="3" t="str">
        <x:v>已核官方来源</x:v>
      </x:c>
      <x:c r="G17" s="3" t="str">
        <x:v>https://www.global-sci.com/JCM/article/view/10934</x:v>
      </x:c>
    </x:row>
    <x:row r="18" ht="85" customHeight="1">
      <x:c r="A18" s="17" t="str">
        <x:v>S03</x:v>
      </x:c>
      <x:c r="B18" s="17" t="str">
        <x:v>原稿Supplement表3与上游reference_model_spec.json</x:v>
      </x:c>
      <x:c r="C18" s="17" t="str">
        <x:v>Supplement S1，表3；stability_scan/inputs/reference_model_spec.json</x:v>
      </x:c>
      <x:c r="D18" s="17" t="str">
        <x:v>L=.08,r=.0006,E=5e6,ρ=1100,μ=2e−5,B0=.03,ζ=.025；原文明确为illustrative。</x:v>
      </x:c>
      <x:c r="E18" s="17" t="str">
        <x:v>确认原设定的出处；不能证明真实装置来源。α从无偏置频率计算。</x:v>
      </x:c>
      <x:c r="F18" s="17" t="str">
        <x:v>已读固定commit原文</x:v>
      </x:c>
      <x:c r="G18" s="17" t="str">
        <x:v>https://raw.githubusercontent.com/mop74720-commits/IJRR_CHNN_KAM_v10_20261007/82519542dd057e8fbd6d6879ef33217761e8cbbb/reproducibility/reviewer_revision_20261008/stability_scan/inputs/reference_model_spec.json</x:v>
      </x:c>
    </x:row>
    <x:row r="19" ht="55" customHeight="1">
      <x:c r="A19" s="17" t="str">
        <x:v>S04</x:v>
      </x:c>
      <x:c r="B19" s="17" t="str">
        <x:v>原稿全部补充章节源码</x:v>
      </x:c>
      <x:c r="C19" s="17" t="str">
        <x:v>固定commit的sections目录</x:v>
      </x:c>
      <x:c r="D19" s="17" t="str">
        <x:v>学习、积分、KAM、误差预算、受迫响应与S-path协议均可定位。</x:v>
      </x:c>
      <x:c r="E19" s="17" t="str">
        <x:v>用于校对历史201条；本轮没有重验所有旧证书与COMSOL轨迹。</x:v>
      </x:c>
      <x:c r="F19" s="17" t="str">
        <x:v>已取24个tex章节</x:v>
      </x:c>
      <x:c r="G19" s="17" t="str">
        <x:v>https://github.com/mop74720-commits/IJRR_CHNN_KAM_v10_20261007/tree/82519542dd057e8fbd6d6879ef33217761e8cbbb/sections</x:v>
      </x:c>
    </x:row>
    <x:row r="20" ht="70" customHeight="1">
      <x:c r="A20" s="17" t="str">
        <x:v>L10</x:v>
      </x:c>
      <x:c r="B20" s="17" t="str">
        <x:v>Cho et al. (2021), Formulation Prediction for Young’s Modulus of PDMS by Spectroscopic Methods</x:v>
      </x:c>
      <x:c r="C20" s="17" t="str">
        <x:v>Methods；Results前两段；Fig.1(a,b)；PDF第2–3页</x:v>
      </x:c>
      <x:c r="D20" s="17" t="str">
        <x:v>Sylgard184，约10wt%固化剂，80°C/2h；E≈2.1MPa，ρ≈1.028g/cm³。拉伸试样与比重天平测量。</x:v>
      </x:c>
      <x:c r="E20" s="17" t="str">
        <x:v>新基准材料参考点；10wt%约9:1，不是10:1；不宣称目标圆梁实测、公差或机械阻尼。</x:v>
      </x:c>
      <x:c r="F20" s="17" t="str">
        <x:v>已核出版商全文与PDF</x:v>
      </x:c>
      <x:c r="G20" s="17" t="str">
        <x:v>https://doi.org/10.1002/bkcs.12352</x:v>
      </x:c>
    </x:row>
    <x:row r="21" ht="55" customHeight="1">
      <x:c r="A21" s="17" t="str">
        <x:v>L11</x:v>
      </x:c>
      <x:c r="B21" s="17" t="str">
        <x:v>SM Magnetics / SuperMagnetMan，N50材料规格</x:v>
      </x:c>
      <x:c r="C21" s="17" t="str">
        <x:v>Magnet Material Grades，NdFeB Stock Grades，N50行</x:v>
      </x:c>
      <x:c r="D21" s="17" t="str">
        <x:v>Br=1.40–1.45T；密度≥7.5g/cm³。</x:v>
      </x:c>
      <x:c r="E21" s="17" t="str">
        <x:v>新基准取Br中点1.425T、ρm=7500名义点；密度下限不等于精确实测值。</x:v>
      </x:c>
      <x:c r="F21" s="17" t="str">
        <x:v>已核厂家原表</x:v>
      </x:c>
      <x:c r="G21" s="17" t="str">
        <x:v>https://supermagnetman.com/pages/magnet-material-grades</x:v>
      </x:c>
    </x:row>
    <x:row r="22" ht="44" customHeight="1">
      <x:c r="A22" s="17" t="str">
        <x:v>L12</x:v>
      </x:c>
      <x:c r="B22" s="17" t="str">
        <x:v>SM Magnetics C0005-10微立方磁体</x:v>
      </x:c>
      <x:c r="C22" s="17" t="str">
        <x:v>产品规格表</x:v>
      </x:c>
      <x:c r="D22" s="17" t="str">
        <x:v>外示尺寸约.25mm立方；N50；镍涂层；单件页温限60°C。</x:v>
      </x:c>
      <x:c r="E22" s="17" t="str">
        <x:v>仅说明微磁体尺寸尺度；本文a=.250mm是裸磁芯设计，不把库存件外尺寸等同芯尺寸。</x:v>
      </x:c>
      <x:c r="F22" s="17" t="str">
        <x:v>已核厂家单件页</x:v>
      </x:c>
      <x:c r="G22" s="17" t="str">
        <x:v>https://supermagnetman.com/products/c0005-10</x:v>
      </x:c>
    </x:row>
    <x:row r="23" ht="44" customHeight="1">
      <x:c r="A23" s="17" t="str">
        <x:v>L13</x:v>
      </x:c>
      <x:c r="B23" s="17" t="str">
        <x:v>SM Magnetics，Magnet Coating Specifications</x:v>
      </x:c>
      <x:c r="C23" s="17" t="str">
        <x:v>NiCuNi行</x:v>
      </x:c>
      <x:c r="D23" s="17" t="str">
        <x:v>通用典型镀层15–25 μm；非特定C0005-10批次实测。</x:v>
      </x:c>
      <x:c r="E23" s="17" t="str">
        <x:v>实体化时计入镀层/胶层质量、惯量与芯尺寸；当前计算仅裸芯。</x:v>
      </x:c>
      <x:c r="F23" s="17" t="str">
        <x:v>已核厂家原表</x:v>
      </x:c>
      <x:c r="G23" s="17" t="str">
        <x:v>https://supermagnetman.com/pages/magnet-coating-specifications</x:v>
      </x:c>
    </x:row>
    <x:row r="24" ht="55" customHeight="1">
      <x:c r="A24" s="17" t="str">
        <x:v>L14</x:v>
      </x:c>
      <x:c r="B24" s="17" t="str">
        <x:v>K&amp;J Magnetics，Magnetic Dipole Moment</x:v>
      </x:c>
      <x:c r="C24" s="17" t="str">
        <x:v>What is the magnetic dipole moment of a magnet?</x:v>
      </x:c>
      <x:c r="D24" s="17" t="str">
        <x:v>给出名义工程关系μ≈BrV/μ0。</x:v>
      </x:c>
      <x:c r="E24" s="17" t="str">
        <x:v>均匀硬磁近似；不能充当单件磁矩校准证书。</x:v>
      </x:c>
      <x:c r="F24" s="17" t="str">
        <x:v>已核厂商公式</x:v>
      </x:c>
      <x:c r="G24" s="17" t="str">
        <x:v>https://www.kjmagnetics.com/blog/magnetic-dipole-moment</x:v>
      </x:c>
    </x:row>
    <x:row r="25" ht="70" customHeight="1">
      <x:c r="A25" s="17" t="str">
        <x:v>L15</x:v>
      </x:c>
      <x:c r="B25" s="17" t="str">
        <x:v>Lussi et al. (2021), A Submillimeter Continuous Variable Stiffness Catheter for Compliance Control</x:v>
      </x:c>
      <x:c r="C25" s="17" t="str">
        <x:v>§4 Magnetic Navigation；§2.4 Stiffness Characterization</x:v>
      </x:c>
      <x:c r="D25" s="17" t="str">
        <x:v>所用OctoMag可在10cm边长工作区产生任意方向总模≤40mT场；实验使用40mT/2Hz。</x:v>
      </x:c>
      <x:c r="E25" s="17" t="str">
        <x:v>支持几十mT场尺度；不证明本文30mT偏置与独立梯度同时可达、精度或带宽；不是本文装置。</x:v>
      </x:c>
      <x:c r="F25" s="17" t="str">
        <x:v>已核原始研究全文</x:v>
      </x:c>
      <x:c r="G25" s="17" t="str">
        <x:v>https://doi.org/10.1002/advs.202101290</x:v>
      </x:c>
    </x:row>
    <x:row r="26" ht="55" customHeight="1">
      <x:c r="A26" s="17" t="str">
        <x:v>L16</x:v>
      </x:c>
      <x:c r="B26" s="17" t="str">
        <x:v>Fischer et al. (2017), Adhesion and Cellular Compatibility of Silicone-Based Skin Adhesives</x:v>
      </x:c>
      <x:c r="C26" s="17" t="str">
        <x:v>§2.3 DMA；§3.1</x:v>
      </x:c>
      <x:c r="D26" s="17" t="str">
        <x:v>Sylgard184 10:1；90°C/30min；20Hz材料损耗因子tanδ约.1。</x:v>
      </x:c>
      <x:c r="E26" s="17" t="str">
        <x:v>与Cho配方/固化/频率不同；材料损耗不等于模态ζ。仅支持做阻尼敏感性，不能证明ζ=.025。</x:v>
      </x:c>
      <x:c r="F26" s="17" t="str">
        <x:v>已核原始全文</x:v>
      </x:c>
      <x:c r="G26" s="17" t="str">
        <x:v>https://doi.org/10.1002/mame.201600526</x:v>
      </x:c>
    </x:row>
    <x:row r="27" ht="55" customHeight="1">
      <x:c r="A27" s="17" t="str">
        <x:v>L17</x:v>
      </x:c>
      <x:c r="B27" s="17" t="str">
        <x:v>Liu et al., MRI-Compatible Magnetically-Actuated Steerable Catheter</x:v>
      </x:c>
      <x:c r="C27" s="17" t="str">
        <x:v>§V.B</x:v>
      </x:c>
      <x:c r="D27" s="17" t="str">
        <x:v>管材实测ρ约1120kg/m³；10.15MPa为含线圈/导线影响的等效挠曲辨识E。</x:v>
      </x:c>
      <x:c r="E27" s="17" t="str">
        <x:v>不采用该E作为均匀裸实心梁材料常数，避免跨装置混用。</x:v>
      </x:c>
      <x:c r="F27" s="17" t="str">
        <x:v>已核原文</x:v>
      </x:c>
      <x:c r="G27" s="17" t="str">
        <x:v>https://pmc.ncbi.nlm.nih.gov/articles/PMC4917491/</x:v>
      </x:c>
    </x:row>
    <x:row r="28" ht="55" customHeight="1">
      <x:c r="A28" s="17" t="str">
        <x:v>L18</x:v>
      </x:c>
      <x:c r="B28" s="17" t="str">
        <x:v>Analysis of Dynamic Response of an MRI-Guided Magnetically-Actuated Steerable Catheter System</x:v>
      </x:c>
      <x:c r="C28" s="17" t="str">
        <x:v>Eq.(7)；ARX降阶识别</x:v>
      </x:c>
      <x:c r="D28" s="17" t="str">
        <x:v>二阶分母s²+4.59s+1.136；对应ζ约2.153；浸液MRI线圈导管。</x:v>
      </x:c>
      <x:c r="E28" s="17" t="str">
        <x:v>不是本磁芯梁单模态材料阻尼；仅可参考辨识流程，不移植数值。</x:v>
      </x:c>
      <x:c r="F28" s="17" t="str">
        <x:v>已核作者原文</x:v>
      </x:c>
      <x:c r="G28" s="17" t="str">
        <x:v>https://pmc.ncbi.nlm.nih.gov/articles/PMC6329396/</x:v>
      </x:c>
    </x:row>
    <x:row r="29" ht="44" customHeight="1">
      <x:c r="A29" s="17" t="str">
        <x:v>C01</x:v>
      </x:c>
      <x:c r="B29" s="17" t="str">
        <x:v>本轮新参数有限元与最小闭环复算</x:v>
      </x:c>
      <x:c r="C29" s="17" t="str">
        <x:v>随附脚本、JSON与运行结果</x:v>
      </x:c>
      <x:c r="D29" s="17" t="str">
        <x:v>16/32/64网格；端质量/惯量；新模态、能量阈值；两参数合成控制实验与敏感性。</x:v>
      </x:c>
      <x:c r="E29" s="17" t="str">
        <x:v>属于可复现计算，不是外部测量；不替代全CHNN/COMSOL/KAM认证。</x:v>
      </x:c>
      <x:c r="F29" s="17" t="str">
        <x:v>计算完成后由脚本导出</x:v>
      </x:c>
      <x:c r="G29" s="17" t="str">
        <x:v>随附 建模参数依据与复算包.zip</x:v>
      </x:c>
    </x:row>
  </x:sheetData>
  <x:pageMargins left="0.7" right="0.7" top="0.75" bottom="0.75" header="0.3" footer="0.3"/>
  <x:tableParts count="1">
    <x:tablePart xmlns:r="http://schemas.openxmlformats.org/officeDocument/2006/relationships" r:id="R2b5e84a0fc224cac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xSplit="1" ySplit="6" topLeftCell="B7" activePane="bottomRight" state="frozen"/>
    </x:sheetView>
  </x:sheetViews>
  <x:sheetFormatPr defaultRowHeight="15"/>
  <x:cols>
    <x:col min="1" max="1" width="34" hidden="0" customWidth="1"/>
    <x:col min="2" max="2" width="19" hidden="0" customWidth="1"/>
    <x:col min="3" max="3" width="12.5" hidden="0" customWidth="1"/>
    <x:col min="4" max="4" width="42" hidden="0" customWidth="1"/>
    <x:col min="5" max="5" width="59" hidden="0" customWidth="1"/>
  </x:cols>
  <x:sheetData>
    <x:row r="1" ht="30" customHeight="1">
      <x:c r="A1" s="5" t="str">
        <x:v>原稿关系复算｜保留历史基准</x:v>
      </x:c>
      <x:c r="B1" s="5"/>
      <x:c r="C1" s="5"/>
      <x:c r="D1" s="5"/>
      <x:c r="E1" s="5"/>
    </x:row>
    <x:row r="2" ht="22" customHeight="1">
      <x:c r="A2" s="7" t="str">
        <x:v>B列保留可计算的Excel公式；直接输入来自原稿，有限元重建输出已明确注明。</x:v>
      </x:c>
      <x:c r="B2" s="7"/>
      <x:c r="C2" s="7"/>
      <x:c r="D2" s="7"/>
      <x:c r="E2" s="7"/>
    </x:row>
    <x:row r="3" ht="22" customHeight="1">
      <x:c r="A3" s="7" t="str">
        <x:v>本页旧计算仍采用E=5 MPa、ρ=1100、无端质量的原示例；新参数计算在“建模参数依据”。</x:v>
      </x:c>
      <x:c r="B3" s="7"/>
      <x:c r="C3" s="7"/>
      <x:c r="D3" s="7"/>
      <x:c r="E3" s="7"/>
    </x:row>
    <x:row r="4" ht="22" customHeight="1">
      <x:c r="A4" s="7" t="str">
        <x:v>E=5 MPa、ρ=1100、ζ=.025现已由S03确认是声明输入；反推仍可作一致性检查，不能作为外部来源。</x:v>
      </x:c>
      <x:c r="B4" s="7"/>
      <x:c r="C4" s="7"/>
      <x:c r="D4" s="7"/>
      <x:c r="E4" s="7"/>
    </x:row>
    <x:row r="5" ht="22" customHeight="1">
      <x:c r="A5" s="7" t="str">
        <x:v>旧B列公式与历史数值保留；未重新运行原稿全部COMSOL、训练、KAM及操作误差证书。</x:v>
      </x:c>
      <x:c r="B5" s="7"/>
      <x:c r="C5" s="7"/>
      <x:c r="D5" s="7"/>
      <x:c r="E5" s="7"/>
    </x:row>
    <x:row r="6" ht="30" customHeight="1">
      <x:c r="A6" s="10" t="str">
        <x:v>项目</x:v>
      </x:c>
      <x:c r="B6" s="10" t="str">
        <x:v>数值/公式结果</x:v>
      </x:c>
      <x:c r="C6" s="10" t="str">
        <x:v>单位</x:v>
      </x:c>
      <x:c r="D6" s="10" t="str">
        <x:v>来源/计算关系</x:v>
      </x:c>
      <x:c r="E6" s="10" t="str">
        <x:v>判断与适用限制</x:v>
      </x:c>
    </x:row>
    <x:row r="7" ht="44" customHeight="1">
      <x:c r="A7" s="3" t="str">
        <x:v>原文梁长L</x:v>
      </x:c>
      <x:c r="B7" s="13" t="n">
        <x:v>0.08</x:v>
      </x:c>
      <x:c r="C7" s="3" t="str">
        <x:v>m</x:v>
      </x:c>
      <x:c r="D7" s="3" t="str">
        <x:v>main.pdf p4 §2.1</x:v>
      </x:c>
      <x:c r="E7" s="3" t="str">
        <x:v>原始几何输入；外部材料来源待查。</x:v>
      </x:c>
    </x:row>
    <x:row r="8" ht="44" customHeight="1">
      <x:c r="A8" s="3" t="str">
        <x:v>原文半径r_c</x:v>
      </x:c>
      <x:c r="B8" s="13" t="n">
        <x:v>0.0006</x:v>
      </x:c>
      <x:c r="C8" s="3" t="str">
        <x:v>m</x:v>
      </x:c>
      <x:c r="D8" s="3" t="str">
        <x:v>main.pdf p4 §2.1</x:v>
      </x:c>
      <x:c r="E8" s="3" t="str">
        <x:v>注意为半径，不是外径。</x:v>
      </x:c>
    </x:row>
    <x:row r="9" ht="44" customHeight="1">
      <x:c r="A9" s="3" t="str">
        <x:v>原文净空c</x:v>
      </x:c>
      <x:c r="B9" s="13" t="n">
        <x:v>0.004</x:v>
      </x:c>
      <x:c r="C9" s="3" t="str">
        <x:v>m</x:v>
      </x:c>
      <x:c r="D9" s="3" t="str">
        <x:v>main.pdf p11–12 §§5.2–5.3</x:v>
      </x:c>
      <x:c r="E9" s="3" t="str">
        <x:v>作者设定的净空。</x:v>
      </x:c>
    </x:row>
    <x:row r="10" ht="44" customHeight="1">
      <x:c r="A10" s="3" t="str">
        <x:v>原文偏置磁能E0</x:v>
      </x:c>
      <x:c r="B10" s="13" t="n">
        <x:v>6e-7</x:v>
      </x:c>
      <x:c r="C10" s="3" t="str">
        <x:v>J</x:v>
      </x:c>
      <x:c r="D10" s="3" t="str">
        <x:v>main.pdf p4 §2.1</x:v>
      </x:c>
      <x:c r="E10" s="3" t="str">
        <x:v>正文仅写μB0；S03现已分别确认μ=2e−5 A·m²、B0=.03 T，原示例乘积。</x:v>
      </x:c>
    </x:row>
    <x:row r="11" ht="44" customHeight="1">
      <x:c r="A11" s="3" t="str">
        <x:v>原文阻尼系数α</x:v>
      </x:c>
      <x:c r="B11" s="13" t="n">
        <x:v>0.55558524</x:v>
      </x:c>
      <x:c r="C11" s="3" t="str">
        <x:v>s^-1</x:v>
      </x:c>
      <x:c r="D11" s="3" t="str">
        <x:v>main.pdf p4 §2.1</x:v>
      </x:c>
      <x:c r="E11" s="3" t="str">
        <x:v>S03已定位：由无偏置频率及设定ζ=.025派生；仍无该装置实测来源。</x:v>
      </x:c>
    </x:row>
    <x:row r="12" ht="44" customHeight="1">
      <x:c r="A12" s="3" t="str">
        <x:v>原文参考角频率ω0</x:v>
      </x:c>
      <x:c r="B12" s="13" t="n">
        <x:v>11.417287283</x:v>
      </x:c>
      <x:c r="C12" s="3" t="str">
        <x:v>rad/s</x:v>
      </x:c>
      <x:c r="D12" s="3" t="str">
        <x:v>main.pdf p5 §2.1</x:v>
      </x:c>
      <x:c r="E12" s="3" t="str">
        <x:v>显示值；已取得上游完整导出11.417287282852458 rad/s。</x:v>
      </x:c>
    </x:row>
    <x:row r="13" ht="44" customHeight="1">
      <x:c r="A13" s="3" t="str">
        <x:v>原文净空临界能量Ec</x:v>
      </x:c>
      <x:c r="B13" s="13" t="n">
        <x:v>2.38565e-8</x:v>
      </x:c>
      <x:c r="C13" s="3" t="str">
        <x:v>J</x:v>
      </x:c>
      <x:c r="D13" s="3" t="str">
        <x:v>main.pdf p12 §5.3</x:v>
      </x:c>
      <x:c r="E13" s="3" t="str">
        <x:v>该值含舍入；用它反推E会产生相应舍入误差。</x:v>
      </x:c>
    </x:row>
    <x:row r="14" ht="44" customHeight="1">
      <x:c r="A14" s="3" t="str">
        <x:v>Table4 MSE下端</x:v>
      </x:c>
      <x:c r="B14" s="13" t="n">
        <x:v>3.603e-23</x:v>
      </x:c>
      <x:c r="C14" s="3" t="str">
        <x:v>无量纲²</x:v>
      </x:c>
      <x:c r="D14" s="3" t="str">
        <x:v>main.pdf p9 Table4</x:v>
      </x:c>
      <x:c r="E14" s="3" t="str">
        <x:v>作者拟合/认证输出，数据未复验。</x:v>
      </x:c>
    </x:row>
    <x:row r="15" ht="44" customHeight="1">
      <x:c r="A15" s="3" t="str">
        <x:v>积分残差上界rI</x:v>
      </x:c>
      <x:c r="B15" s="13" t="n">
        <x:v>6.003e-12</x:v>
      </x:c>
      <x:c r="C15" s="3" t="str">
        <x:v>无量纲</x:v>
      </x:c>
      <x:c r="D15" s="3" t="str">
        <x:v>main.pdf p9 Table4</x:v>
      </x:c>
      <x:c r="E15" s="3" t="str">
        <x:v>已定位Supplement积分证书说明；本轮未重验上游数据/区间程序。</x:v>
      </x:c>
    </x:row>
    <x:row r="16" ht="44" customHeight="1">
      <x:c r="A16" s="3" t="str">
        <x:v>物理缺陷上界εI</x:v>
      </x:c>
      <x:c r="B16" s="13" t="n">
        <x:v>6.884e-12</x:v>
      </x:c>
      <x:c r="C16" s="3" t="str">
        <x:v>无量纲</x:v>
      </x:c>
      <x:c r="D16" s="3" t="str">
        <x:v>main.pdf p9 Table4</x:v>
      </x:c>
      <x:c r="E16" s="3" t="str">
        <x:v>已定位Supplement物理缺陷预算说明；本轮未重验其严格上界。</x:v>
      </x:c>
    </x:row>
    <x:row r="17" ht="44" customHeight="1">
      <x:c r="A17" s="3" t="str">
        <x:v>Gram最小特征值下界</x:v>
      </x:c>
      <x:c r="B17" s="13" t="n">
        <x:v>2.93e-7</x:v>
      </x:c>
      <x:c r="C17" s="3" t="str">
        <x:v>无量纲</x:v>
      </x:c>
      <x:c r="D17" s="3" t="str">
        <x:v>main.pdf p9 Table4</x:v>
      </x:c>
      <x:c r="E17" s="3" t="str">
        <x:v>已定位Supplement矩阵/区间说明；本轮未重验Gram证书。</x:v>
      </x:c>
    </x:row>
    <x:row r="18" ht="44" customHeight="1">
      <x:c r="A18" s="3" t="str">
        <x:v>目标twist奇异值下界</x:v>
      </x:c>
      <x:c r="B18" s="13" t="n">
        <x:v>0.0004903</x:v>
      </x:c>
      <x:c r="C18" s="3" t="str">
        <x:v>无量纲</x:v>
      </x:c>
      <x:c r="D18" s="3" t="str">
        <x:v>main.pdf p9 Table4</x:v>
      </x:c>
      <x:c r="E18" s="3" t="str">
        <x:v>原稿报告的保守下界。</x:v>
      </x:c>
    </x:row>
    <x:row r="19" ht="44" customHeight="1">
      <x:c r="A19" s="3" t="str">
        <x:v>twist误差上界</x:v>
      </x:c>
      <x:c r="B19" s="13" t="n">
        <x:v>1.038e-7</x:v>
      </x:c>
      <x:c r="C19" s="3" t="str">
        <x:v>无量纲</x:v>
      </x:c>
      <x:c r="D19" s="3" t="str">
        <x:v>main.pdf p9 Table4</x:v>
      </x:c>
      <x:c r="E19" s="3" t="str">
        <x:v>用于下界差值核查。</x:v>
      </x:c>
    </x:row>
    <x:row r="20" ht="44" customHeight="1">
      <x:c r="A20" s="3" t="str">
        <x:v>能量预算比例</x:v>
      </x:c>
      <x:c r="B20" s="13" t="n">
        <x:v>0.95</x:v>
      </x:c>
      <x:c r="C20" s="3" t="str">
        <x:v>比例</x:v>
      </x:c>
      <x:c r="D20" s="3" t="str">
        <x:v>main.pdf p12 §5.3</x:v>
      </x:c>
      <x:c r="E20" s="3" t="str">
        <x:v>作者选择的5%余量。</x:v>
      </x:c>
    </x:row>
    <x:row r="21" ht="44" customHeight="1">
      <x:c r="A21" s="3" t="str">
        <x:v>有误差情形能量帽</x:v>
      </x:c>
      <x:c r="B21" s="13" t="n">
        <x:v>2.266e-8</x:v>
      </x:c>
      <x:c r="C21" s="3" t="str">
        <x:v>J</x:v>
      </x:c>
      <x:c r="D21" s="3" t="str">
        <x:v>main.pdf p12 §5.4</x:v>
      </x:c>
      <x:c r="E21" s="3" t="str">
        <x:v>该能量帽的完整认证尚待S7.5。</x:v>
      </x:c>
    </x:row>
    <x:row r="22" ht="44" customHeight="1">
      <x:c r="A22" s="3" t="str">
        <x:v>初始化误差能量半径</x:v>
      </x:c>
      <x:c r="B22" s="13" t="n">
        <x:v>5e-12</x:v>
      </x:c>
      <x:c r="C22" s="3" t="str">
        <x:v>J</x:v>
      </x:c>
      <x:c r="D22" s="3" t="str">
        <x:v>main.pdf p12 §5.4</x:v>
      </x:c>
      <x:c r="E22" s="3" t="str">
        <x:v>作者指定误差集合。</x:v>
      </x:c>
    </x:row>
    <x:row r="23" ht="44" customHeight="1">
      <x:c r="A23" s="3" t="str">
        <x:v>转角/坡度上界</x:v>
      </x:c>
      <x:c r="B23" s="13" t="n">
        <x:v>0.155261</x:v>
      </x:c>
      <x:c r="C23" s="3" t="str">
        <x:v>rad</x:v>
      </x:c>
      <x:c r="D23" s="3" t="str">
        <x:v>main.pdf p11 §5.1</x:v>
      </x:c>
      <x:c r="E23" s="3" t="str">
        <x:v>已取得Supplement相关说明；本轮未重新认证此原模型界。</x:v>
      </x:c>
    </x:row>
    <x:row r="24" ht="44" customHeight="1">
      <x:c r="A24" s="3" t="str">
        <x:v>KAM残差上界</x:v>
      </x:c>
      <x:c r="B24" s="13" t="n">
        <x:v>2.731e-77</x:v>
      </x:c>
      <x:c r="C24" s="3" t="str">
        <x:v>无量纲</x:v>
      </x:c>
      <x:c r="D24" s="3" t="str">
        <x:v>main.pdf p9 §4.3</x:v>
      </x:c>
      <x:c r="E24" s="3" t="str">
        <x:v>本表只核显示数值的比值，不重新认证环面。</x:v>
      </x:c>
    </x:row>
    <x:row r="25" ht="44" customHeight="1">
      <x:c r="A25" s="3" t="str">
        <x:v>KAM阈值显示下界</x:v>
      </x:c>
      <x:c r="B25" s="13" t="n">
        <x:v>8.6086e-76</x:v>
      </x:c>
      <x:c r="C25" s="3" t="str">
        <x:v>无量纲</x:v>
      </x:c>
      <x:c r="D25" s="3" t="str">
        <x:v>main.pdf p9 §4.3</x:v>
      </x:c>
      <x:c r="E25" s="3" t="str">
        <x:v>原稿写门槛大于此值。</x:v>
      </x:c>
    </x:row>
    <x:row r="26" ht="44" customHeight="1">
      <x:c r="A26" s="3" t="str">
        <x:v>扫描频率比下端</x:v>
      </x:c>
      <x:c r="B26" s="13" t="n">
        <x:v>0.7</x:v>
      </x:c>
      <x:c r="C26" s="3" t="str">
        <x:v>比例</x:v>
      </x:c>
      <x:c r="D26" s="3" t="str">
        <x:v>main.pdf p11 §5.2</x:v>
      </x:c>
      <x:c r="E26" s="3" t="str">
        <x:v>作者扫描区间。</x:v>
      </x:c>
    </x:row>
    <x:row r="27" ht="44" customHeight="1">
      <x:c r="A27" s="3" t="str">
        <x:v>扫描频率比上端</x:v>
      </x:c>
      <x:c r="B27" s="13" t="n">
        <x:v>1.3</x:v>
      </x:c>
      <x:c r="C27" s="3" t="str">
        <x:v>比例</x:v>
      </x:c>
      <x:c r="D27" s="3" t="str">
        <x:v>main.pdf p11 §5.2</x:v>
      </x:c>
      <x:c r="E27" s="3" t="str">
        <x:v>作者扫描区间。</x:v>
      </x:c>
    </x:row>
    <x:row r="28" ht="44" customHeight="1">
      <x:c r="A28" s="3" t="str">
        <x:v>长期测试时长</x:v>
      </x:c>
      <x:c r="B28" s="13" t="n">
        <x:v>200</x:v>
      </x:c>
      <x:c r="C28" s="3" t="str">
        <x:v>s</x:v>
      </x:c>
      <x:c r="D28" s="3" t="str">
        <x:v>main.pdf p7 §3.3</x:v>
      </x:c>
      <x:c r="E28" s="3" t="str">
        <x:v>用于周期数换算。</x:v>
      </x:c>
    </x:row>
    <x:row r="29" ht="44" customHeight="1">
      <x:c r="A29" s="3" t="str">
        <x:v>准周期诊断无量纲时长</x:v>
      </x:c>
      <x:c r="B29" s="13" t="n">
        <x:v>8192</x:v>
      </x:c>
      <x:c r="C29" s="3" t="str">
        <x:v>τ</x:v>
      </x:c>
      <x:c r="D29" s="3" t="str">
        <x:v>main.pdf p10 §4.4</x:v>
      </x:c>
      <x:c r="E29" s="3" t="str">
        <x:v>用于物理时间换算。</x:v>
      </x:c>
    </x:row>
    <x:row r="30" ht="44" customHeight="1">
      <x:c r="A30" s="3" t="str">
        <x:v>米到毫米换算</x:v>
      </x:c>
      <x:c r="B30" s="13" t="n">
        <x:v>1000</x:v>
      </x:c>
      <x:c r="C30" s="3" t="str">
        <x:v>mm/m</x:v>
      </x:c>
      <x:c r="D30" s="3" t="str">
        <x:v>SI单位换算</x:v>
      </x:c>
      <x:c r="E30" s="3" t="str">
        <x:v>精确单位换算常数。</x:v>
      </x:c>
    </x:row>
    <x:row r="31" ht="44" customHeight="1">
      <x:c r="A31" s="3" t="str">
        <x:v>米到微米换算</x:v>
      </x:c>
      <x:c r="B31" s="13" t="n">
        <x:v>1000000</x:v>
      </x:c>
      <x:c r="C31" s="3" t="str">
        <x:v>µm/m</x:v>
      </x:c>
      <x:c r="D31" s="3" t="str">
        <x:v>SI单位换算</x:v>
      </x:c>
      <x:c r="E31" s="3" t="str">
        <x:v>精确单位换算常数。</x:v>
      </x:c>
    </x:row>
    <x:row r="32" ht="44" customHeight="1">
      <x:c r="A32" s="3" t="str">
        <x:v>焦耳到纳焦耳换算</x:v>
      </x:c>
      <x:c r="B32" s="13" t="n">
        <x:v>1000000000</x:v>
      </x:c>
      <x:c r="C32" s="3" t="str">
        <x:v>nJ/J</x:v>
      </x:c>
      <x:c r="D32" s="3" t="str">
        <x:v>SI单位换算</x:v>
      </x:c>
      <x:c r="E32" s="3" t="str">
        <x:v>精确单位换算常数。</x:v>
      </x:c>
    </x:row>
    <x:row r="33" ht="44" customHeight="1">
      <x:c r="A33" s="3" t="str">
        <x:v>截面积Ac</x:v>
      </x:c>
      <x:c r="B33" s="14" t="n">
        <x:f>PI()*B8^2</x:f>
        <x:v>0.0000011309733552923253</x:v>
      </x:c>
      <x:c r="C33" s="3" t="str">
        <x:v>m²</x:v>
      </x:c>
      <x:c r="D33" s="3" t="str">
        <x:v>Ac=πr_c²</x:v>
      </x:c>
      <x:c r="E33" s="3" t="str">
        <x:v>由几何输入派生。</x:v>
      </x:c>
    </x:row>
    <x:row r="34" ht="44" customHeight="1">
      <x:c r="A34" s="3" t="str">
        <x:v>截面二次矩I</x:v>
      </x:c>
      <x:c r="B34" s="14" t="n">
        <x:f>PI()*B8^4/4</x:f>
        <x:v>1.0178760197630926e-13</x:v>
      </x:c>
      <x:c r="C34" s="3" t="str">
        <x:v>m⁴</x:v>
      </x:c>
      <x:c r="D34" s="3" t="str">
        <x:v>I=πr_c⁴/4</x:v>
      </x:c>
      <x:c r="E34" s="3" t="str">
        <x:v>由几何输入派生。</x:v>
      </x:c>
    </x:row>
    <x:row r="35" ht="44" customHeight="1">
      <x:c r="A35" s="3" t="str">
        <x:v>由Ec反推EI</x:v>
      </x:c>
      <x:c r="B35" s="14" t="n">
        <x:f>2*B7^3*B13/(3*B9^2)</x:f>
        <x:v>5.089386666666668e-7</x:v>
      </x:c>
      <x:c r="C35" s="3" t="str">
        <x:v>N·m²</x:v>
      </x:c>
      <x:c r="D35" s="3" t="str">
        <x:v>EI=2L³Ec/(3c²)</x:v>
      </x:c>
      <x:c r="E35" s="3" t="str">
        <x:v>条件反推；不是原始材料报告。</x:v>
      </x:c>
    </x:row>
    <x:row r="36" ht="44" customHeight="1">
      <x:c r="A36" s="3" t="str">
        <x:v>由Ec反推均匀杨氏模量E</x:v>
      </x:c>
      <x:c r="B36" s="14" t="n">
        <x:f>B35/B34</x:f>
        <x:v>5000006.452506078</x:v>
      </x:c>
      <x:c r="C36" s="3" t="str">
        <x:v>Pa</x:v>
      </x:c>
      <x:c r="D36" s="3" t="str">
        <x:v>E=(反推EI)/I</x:v>
      </x:c>
      <x:c r="E36" s="3" t="str">
        <x:v>约5.000006MPa；需要均匀圆截面梁与式(32)使用相同EI的假设。</x:v>
      </x:c>
    </x:row>
    <x:row r="37" ht="44" customHeight="1">
      <x:c r="A37" s="3" t="str">
        <x:v>无量纲物理阻尼γ</x:v>
      </x:c>
      <x:c r="B37" s="14" t="n">
        <x:f>B11/B12</x:f>
        <x:v>0.04866175530392844</x:v>
      </x:c>
      <x:c r="C37" s="3" t="str">
        <x:v>无量纲</x:v>
      </x:c>
      <x:c r="D37" s="3" t="str">
        <x:v>γ=α/ω0</x:v>
      </x:c>
      <x:c r="E37" s="3" t="str">
        <x:v>与KAM的Diophantine γ不是同一个量。</x:v>
      </x:c>
    </x:row>
    <x:row r="38" ht="44" customHeight="1">
      <x:c r="A38" s="3" t="str">
        <x:v>系数误差界bI复算</x:v>
      </x:c>
      <x:c r="B38" s="14" t="n">
        <x:f>(B15+B16)/SQRT(B17)</x:f>
        <x:v>2.3807731629120656e-8</x:v>
      </x:c>
      <x:c r="C38" s="3" t="str">
        <x:v>无量纲</x:v>
      </x:c>
      <x:c r="D38" s="3" t="str">
        <x:v>bI=(rI+εI)/√λ</x:v>
      </x:c>
      <x:c r="E38" s="3" t="str">
        <x:v>约2.380773e-8；支持原稿向上取2.381e-8。</x:v>
      </x:c>
    </x:row>
    <x:row r="39" ht="44" customHeight="1">
      <x:c r="A39" s="3" t="str">
        <x:v>√19 bI的数值</x:v>
      </x:c>
      <x:c r="B39" s="14" t="n">
        <x:f>SQRT(19)*B38</x:f>
        <x:v>1.0377549624627392e-7</x:v>
      </x:c>
      <x:c r="C39" s="3" t="str">
        <x:v>无量纲</x:v>
      </x:c>
      <x:c r="D39" s="3" t="str">
        <x:v>√19 × bI</x:v>
      </x:c>
      <x:c r="E39" s="3" t="str">
        <x:v>约1.037755e-7；完整式(25)另含映射范数和舍入预算。</x:v>
      </x:c>
    </x:row>
    <x:row r="40" ht="44" customHeight="1">
      <x:c r="A40" s="3" t="str">
        <x:v>学习twist的保守非退化余量</x:v>
      </x:c>
      <x:c r="B40" s="14" t="n">
        <x:f>B18-B19</x:f>
        <x:v>0.0004901962</x:v>
      </x:c>
      <x:c r="C40" s="3" t="str">
        <x:v>无量纲</x:v>
      </x:c>
      <x:c r="D40" s="3" t="str">
        <x:v>σ_min(A*)下界−twist误差上界</x:v>
      </x:c>
      <x:c r="E40" s="3" t="str">
        <x:v>正数支持显示界之间的严格分离；不是对上游证书的复验。</x:v>
      </x:c>
    </x:row>
    <x:row r="41" ht="44" customHeight="1">
      <x:c r="A41" s="3" t="str">
        <x:v>余弦下界复算</x:v>
      </x:c>
      <x:c r="B41" s="14" t="n">
        <x:f>COS(B23)</x:f>
        <x:v>0.9879712039166157</x:v>
      </x:c>
      <x:c r="C41" s="3" t="str">
        <x:v>无量纲</x:v>
      </x:c>
      <x:c r="D41" s="3" t="str">
        <x:v>cos(0.155261)</x:v>
      </x:c>
      <x:c r="E41" s="3" t="str">
        <x:v>约0.9879712039；原稿&gt;0.987971取整方向正确。</x:v>
      </x:c>
    </x:row>
    <x:row r="42" ht="44" customHeight="1">
      <x:c r="A42" s="3" t="str">
        <x:v>0.95Ec对应全中心线界</x:v>
      </x:c>
      <x:c r="B42" s="14" t="n">
        <x:f>B9*SQRT(B20)*B30</x:f>
        <x:v>3.8987177379235853</x:v>
      </x:c>
      <x:c r="C42" s="3" t="str">
        <x:v>mm</x:v>
      </x:c>
      <x:c r="D42" s="3" t="str">
        <x:v>c√0.95</x:v>
      </x:c>
      <x:c r="E42" s="3" t="str">
        <x:v>约3.898717738mm；对应原稿3.898718mm。</x:v>
      </x:c>
    </x:row>
    <x:row r="43" ht="44" customHeight="1">
      <x:c r="A43" s="3" t="str">
        <x:v>22.66nJ对应全中心线界</x:v>
      </x:c>
      <x:c r="B43" s="14" t="n">
        <x:f>B9*SQRT(B21/B13)*B30</x:f>
        <x:v>3.898401629248357</x:v>
      </x:c>
      <x:c r="C43" s="3" t="str">
        <x:v>mm</x:v>
      </x:c>
      <x:c r="D43" s="3" t="str">
        <x:v>c√(Ecap/Ec)</x:v>
      </x:c>
      <x:c r="E43" s="3" t="str">
        <x:v>约3.898401629mm；原稿3.898405mm为略宽上界。</x:v>
      </x:c>
    </x:row>
    <x:row r="44" ht="44" customHeight="1">
      <x:c r="A44" s="3" t="str">
        <x:v>带端部磁转角弹簧的端柔度Cb</x:v>
      </x:c>
      <x:c r="B44" s="14" t="n">
        <x:f>B7^3/(3*B35)-B10*(B7^2/(2*B35))^2/(1+B10*B7/B35)</x:f>
        <x:v>313.6624150030472</x:v>
      </x:c>
      <x:c r="C44" s="3" t="str">
        <x:v>m/N</x:v>
      </x:c>
      <x:c r="D44" s="3" t="str">
        <x:v>Cb=L³/(3EI)−E0[L²/(2EI)]²/(1+E0L/EI)</x:v>
      </x:c>
      <x:c r="E44" s="3" t="str">
        <x:v>采用反推EI；端部磁刚度为E0。</x:v>
      </x:c>
    </x:row>
    <x:row r="45" ht="44" customHeight="1">
      <x:c r="A45" s="3" t="str">
        <x:v>5pJ误差椭球的端位移投影</x:v>
      </x:c>
      <x:c r="B45" s="14" t="n">
        <x:f>SQRT(2*B22*B44)*B31</x:f>
        <x:v>56.00557249087337</x:v>
      </x:c>
      <x:c r="C45" s="3" t="str">
        <x:v>µm</x:v>
      </x:c>
      <x:c r="D45" s="3" t="str">
        <x:v>√(2Qmax Cb)</x:v>
      </x:c>
      <x:c r="E45" s="3" t="str">
        <x:v>约56.00557µm；支持原稿56.006µm，但上游模型仍为条件重建。</x:v>
      </x:c>
    </x:row>
    <x:row r="46" ht="44" customHeight="1">
      <x:c r="A46" s="3" t="str">
        <x:v>显示残差/显示门槛</x:v>
      </x:c>
      <x:c r="B46" s="14" t="n">
        <x:f>B24/B25</x:f>
        <x:v>0.031724089863624745</x:v>
      </x:c>
      <x:c r="C46" s="3" t="str">
        <x:v>比例</x:v>
      </x:c>
      <x:c r="D46" s="3" t="str">
        <x:v>2.7310e-77 / 8.6086e-76</x:v>
      </x:c>
      <x:c r="E46" s="3" t="str">
        <x:v>约0.03172408986&lt;1；更强的&lt;0.031724需要未舍入内部数据。</x:v>
      </x:c>
    </x:row>
    <x:row r="47" ht="44" customHeight="1">
      <x:c r="A47" s="3" t="str">
        <x:v>200秒折算第一模态周期数</x:v>
      </x:c>
      <x:c r="B47" s="14" t="n">
        <x:f>B28*B12/(2*PI())</x:f>
        <x:v>363.4235415579371</x:v>
      </x:c>
      <x:c r="C47" s="3" t="str">
        <x:v>周期</x:v>
      </x:c>
      <x:c r="D47" s="3" t="str">
        <x:v>Tω0/(2π)</x:v>
      </x:c>
      <x:c r="E47" s="3" t="str">
        <x:v>约363.4235；正文概述约363个周期正确。</x:v>
      </x:c>
    </x:row>
    <x:row r="48" ht="44" customHeight="1">
      <x:c r="A48" s="3" t="str">
        <x:v>8192无量纲时间折算物理秒</x:v>
      </x:c>
      <x:c r="B48" s="14" t="n">
        <x:f>B29/B12</x:f>
        <x:v>717.5084410985825</x:v>
      </x:c>
      <x:c r="C48" s="3" t="str">
        <x:v>s</x:v>
      </x:c>
      <x:c r="D48" s="3" t="str">
        <x:v>τ/ω0</x:v>
      </x:c>
      <x:c r="E48" s="3" t="str">
        <x:v>约717.5084s；显示717.5s正确。</x:v>
      </x:c>
    </x:row>
    <x:row r="49" ht="44" customHeight="1">
      <x:c r="A49" s="3" t="str">
        <x:v>阻尼因子在r=0.7的值</x:v>
      </x:c>
      <x:c r="B49" s="14" t="n">
        <x:f>EXP(-B11*PI()/(B26*B12))</x:f>
        <x:v>0.803809123070756</x:v>
      </x:c>
      <x:c r="C49" s="3" t="str">
        <x:v>无量纲</x:v>
      </x:c>
      <x:c r="D49" s="3" t="str">
        <x:v>exp[−απ/(rω0)]</x:v>
      </x:c>
      <x:c r="E49" s="3" t="str">
        <x:v>0.8038091231；与报告下端吻合，不替代monodromy谱计算。</x:v>
      </x:c>
    </x:row>
    <x:row r="50" ht="44" customHeight="1">
      <x:c r="A50" s="3" t="str">
        <x:v>阻尼因子在r=1.3的值</x:v>
      </x:c>
      <x:c r="B50" s="14" t="n">
        <x:f>EXP(-B11*PI()/(B27*B12))</x:f>
        <x:v>0.8890547391487967</x:v>
      </x:c>
      <x:c r="C50" s="3" t="str">
        <x:v>无量纲</x:v>
      </x:c>
      <x:c r="D50" s="3" t="str">
        <x:v>exp[−απ/(rω0)]</x:v>
      </x:c>
      <x:c r="E50" s="3" t="str">
        <x:v>0.8890547391；与报告上端吻合，不替代monodromy谱计算。</x:v>
      </x:c>
    </x:row>
    <x:row r="51" ht="44" customHeight="1">
      <x:c r="A51" s="3" t="str">
        <x:v>MSE下端开方</x:v>
      </x:c>
      <x:c r="B51" s="14" t="n">
        <x:f>SQRT(B14)</x:f>
        <x:v>6.002499479383567e-12</x:v>
      </x:c>
      <x:c r="C51" s="3" t="str">
        <x:v>无量纲</x:v>
      </x:c>
      <x:c r="D51" s="3" t="str">
        <x:v>√(3.6030e-23)</x:v>
      </x:c>
      <x:c r="E51" s="3" t="str">
        <x:v>约6.00249948e-12；与rI上界相容。</x:v>
      </x:c>
    </x:row>
    <x:row r="52" ht="44" customHeight="1">
      <x:c r="A52" s="3" t="str">
        <x:v>本稿外径</x:v>
      </x:c>
      <x:c r="B52" s="14" t="n">
        <x:f>2*B8*B30</x:f>
        <x:v>1.2</x:v>
      </x:c>
      <x:c r="C52" s="3" t="str">
        <x:v>mm</x:v>
      </x:c>
      <x:c r="D52" s="3" t="str">
        <x:v>2r_c</x:v>
      </x:c>
      <x:c r="E52" s="3" t="str">
        <x:v>1.2mm；不能与Kim样机0.6mm外径混同。</x:v>
      </x:c>
    </x:row>
    <x:row r="53" ht="44" customHeight="1">
      <x:c r="A53" s="3" t="str">
        <x:v>由Ec与ω0条件反推的密度</x:v>
      </x:c>
      <x:c r="B53" s="13" t="n">
        <x:v>1100.0013317232188</x:v>
      </x:c>
      <x:c r="C53" s="3" t="str">
        <x:v>kg/m³</x:v>
      </x:c>
      <x:c r="D53" s="3" t="str">
        <x:v>独立32等长Hermite单元广义特征值重建</x:v>
      </x:c>
      <x:c r="E53" s="3" t="str">
        <x:v>M(ρ)=ρM(1)，ρ=λ1(ρ=1)/ω0²；均匀材料、一致质量、无附加端质量。非区间证明。</x:v>
      </x:c>
    </x:row>
    <x:row r="54" ht="44" customHeight="1">
      <x:c r="A54" s="3" t="str">
        <x:v>原示例杨氏模量（现已确认）</x:v>
      </x:c>
      <x:c r="B54" s="13" t="n">
        <x:v>5000000</x:v>
      </x:c>
      <x:c r="C54" s="3" t="str">
        <x:v>Pa</x:v>
      </x:c>
      <x:c r="D54" s="3" t="str">
        <x:v>上游reference_model_spec.json：young_modulus_Pa=5000000</x:v>
      </x:c>
      <x:c r="E54" s="3" t="str">
        <x:v>已确认原示例输入；没有据此建立材料外部来源。新基准另列。</x:v>
      </x:c>
    </x:row>
    <x:row r="55" ht="44" customHeight="1">
      <x:c r="A55" s="3" t="str">
        <x:v>原示例密度（现已确认）</x:v>
      </x:c>
      <x:c r="B55" s="13" t="n">
        <x:v>1100</x:v>
      </x:c>
      <x:c r="C55" s="3" t="str">
        <x:v>kg/m³</x:v>
      </x:c>
      <x:c r="D55" s="3" t="str">
        <x:v>上游reference_model_spec.json：density_kg_m3=1100</x:v>
      </x:c>
      <x:c r="E55" s="3" t="str">
        <x:v>已确认原示例输入；不是实体样机密度测量。</x:v>
      </x:c>
    </x:row>
    <x:row r="56" ht="44" customHeight="1">
      <x:c r="A56" s="3" t="str">
        <x:v>候选模型无磁偏置第一角频率</x:v>
      </x:c>
      <x:c r="B56" s="13" t="n">
        <x:v>11.111704786636802</x:v>
      </x:c>
      <x:c r="C56" s="3" t="str">
        <x:v>rad/s</x:v>
      </x:c>
      <x:c r="D56" s="3" t="str">
        <x:v>32等长Hermite单元独立装配/特征值计算</x:v>
      </x:c>
      <x:c r="E56" s="3" t="str">
        <x:v>用E=5MPa、ρ=1100，且末端不加E0转角刚度。</x:v>
      </x:c>
    </x:row>
    <x:row r="57" ht="44" customHeight="1">
      <x:c r="A57" s="3" t="str">
        <x:v>原设定无偏置第一模态阻尼比</x:v>
      </x:c>
      <x:c r="B57" s="13" t="n">
        <x:v>0.025</x:v>
      </x:c>
      <x:c r="C57" s="3" t="str">
        <x:v>比例</x:v>
      </x:c>
      <x:c r="D57" s="3" t="str">
        <x:v>上游reference_model_spec.json：damping_ratio_first=.025</x:v>
      </x:c>
      <x:c r="E57" s="3" t="str">
        <x:v>原值对无偏置第一频率定义。新基准ζ改为对含偏置ω1定义；仍为设计情景。</x:v>
      </x:c>
    </x:row>
    <x:row r="58" ht="44" customHeight="1">
      <x:c r="A58" s="3" t="str">
        <x:v>按原设定2.5%重建α</x:v>
      </x:c>
      <x:c r="B58" s="14" t="n">
        <x:f>2*B57*B56</x:f>
        <x:v>0.5555852393318401</x:v>
      </x:c>
      <x:c r="C58" s="3" t="str">
        <x:v>s^-1</x:v>
      </x:c>
      <x:c r="D58" s="3" t="str">
        <x:v>α=2ζω1,bare</x:v>
      </x:c>
      <x:c r="E58" s="3" t="str">
        <x:v>与原α数值相容，且S03已确认生成规则；仍不是外部实测来源。</x:v>
      </x:c>
    </x:row>
    <x:row r="59" ht="44" customHeight="1">
      <x:c r="A59" s="3" t="str">
        <x:v>有磁偏置第一模态的实际阻尼比</x:v>
      </x:c>
      <x:c r="B59" s="14" t="n">
        <x:f>B11/(2*B12)</x:f>
        <x:v>0.02433087765196422</x:v>
      </x:c>
      <x:c r="C59" s="3" t="str">
        <x:v>比例</x:v>
      </x:c>
      <x:c r="D59" s="3" t="str">
        <x:v>ζ=α/(2ω0)</x:v>
      </x:c>
      <x:c r="E59" s="3" t="str">
        <x:v>约0.02433088；不是严格2.5%。</x:v>
      </x:c>
    </x:row>
    <x:row r="60" ht="44" customHeight="1">
      <x:c r="A60" s="3" t="str">
        <x:v>候选模型重建ω1</x:v>
      </x:c>
      <x:c r="B60" s="13" t="n">
        <x:v>11.417287256273298</x:v>
      </x:c>
      <x:c r="C60" s="3" t="str">
        <x:v>rad/s</x:v>
      </x:c>
      <x:c r="D60" s="3" t="str">
        <x:v>独立有限元重建：E=5MPa、ρ=1100、偏置E0</x:v>
      </x:c>
      <x:c r="E60" s="3" t="str">
        <x:v>约11.4172872563；与正文显示11.417287283高度一致，剩余差异可能为数值/导出误差。</x:v>
      </x:c>
    </x:row>
    <x:row r="61" ht="44" customHeight="1">
      <x:c r="A61" s="3" t="str">
        <x:v>候选模型重建ω2</x:v>
      </x:c>
      <x:c r="B61" s="13" t="n">
        <x:v>70.24049294218564</x:v>
      </x:c>
      <x:c r="C61" s="3" t="str">
        <x:v>rad/s</x:v>
      </x:c>
      <x:c r="D61" s="3" t="str">
        <x:v>同上</x:v>
      </x:c>
      <x:c r="E61" s="3" t="str">
        <x:v>约70.2404929422；与正文ω0ν2吻合。</x:v>
      </x:c>
    </x:row>
    <x:row r="62" ht="44" customHeight="1">
      <x:c r="A62" s="3" t="str">
        <x:v>候选模型重建ν2</x:v>
      </x:c>
      <x:c r="B62" s="14" t="n">
        <x:f>B61/B60</x:f>
        <x:v>6.152117518422914</x:v>
      </x:c>
      <x:c r="C62" s="3" t="str">
        <x:v>无量纲</x:v>
      </x:c>
      <x:c r="D62" s="3" t="str">
        <x:v>ω2/ω1</x:v>
      </x:c>
      <x:c r="E62" s="3" t="str">
        <x:v>与正文6.152117504高度一致。</x:v>
      </x:c>
    </x:row>
    <x:row r="63" ht="44" customHeight="1">
      <x:c r="A63" s="3" t="str">
        <x:v>候选E=5MPa重建Ec</x:v>
      </x:c>
      <x:c r="B63" s="14" t="n">
        <x:f>3*B54*B34*B9^2/(2*B7^3)*B32</x:f>
        <x:v>23.856469213197478</x:v>
      </x:c>
      <x:c r="C63" s="3" t="str">
        <x:v>nJ</x:v>
      </x:c>
      <x:c r="D63" s="3" t="str">
        <x:v>3EI c²/(2L³)</x:v>
      </x:c>
      <x:c r="E63" s="3" t="str">
        <x:v>约23.85646921nJ，四舍五入为正文23.8565nJ。</x:v>
      </x:c>
    </x:row>
    <x:row r="64" ht="44" customHeight="1">
      <x:c r="A64" s="3" t="str">
        <x:v>候选模型重建d1</x:v>
      </x:c>
      <x:c r="B64" s="13" t="n">
        <x:v>0.2256707732466218</x:v>
      </x:c>
      <x:c r="C64" s="3" t="str">
        <x:v>无量纲</x:v>
      </x:c>
      <x:c r="D64" s="3" t="str">
        <x:v>质量正交模态及式(3)尺度变换</x:v>
      </x:c>
      <x:c r="E64" s="3" t="str">
        <x:v>正文0.225670773；已按正端转角统一模态符号。</x:v>
      </x:c>
    </x:row>
    <x:row r="65" ht="44" customHeight="1">
      <x:c r="A65" s="3" t="str">
        <x:v>候选模型重建d2</x:v>
      </x:c>
      <x:c r="B65" s="13" t="n">
        <x:v>0.32179880599657407</x:v>
      </x:c>
      <x:c r="C65" s="3" t="str">
        <x:v>无量纲</x:v>
      </x:c>
      <x:c r="D65" s="3" t="str">
        <x:v>质量正交模态及式(3)尺度变换</x:v>
      </x:c>
      <x:c r="E65" s="3" t="str">
        <x:v>正文0.321798806；同一模型下高度一致。</x:v>
      </x:c>
    </x:row>
    <x:row r="66" ht="44" customHeight="1">
      <x:c r="A66" s="3" t="str">
        <x:v>候选模型重建ℓ1(L)</x:v>
      </x:c>
      <x:c r="B66" s="13" t="n">
        <x:v>0.013506053789614114</x:v>
      </x:c>
      <x:c r="C66" s="3" t="str">
        <x:v>m</x:v>
      </x:c>
      <x:c r="D66" s="3" t="str">
        <x:v>Hermite端位移读取与式(3)尺度变换</x:v>
      </x:c>
      <x:c r="E66" s="3" t="str">
        <x:v>正文0.013506054m；同一模型下高度一致。</x:v>
      </x:c>
    </x:row>
    <x:row r="67" ht="44" customHeight="1">
      <x:c r="A67" s="3" t="str">
        <x:v>候选模型重建ℓ2(L)</x:v>
      </x:c>
      <x:c r="B67" s="13" t="n">
        <x:v>0.00547092647556762</x:v>
      </x:c>
      <x:c r="C67" s="3" t="str">
        <x:v>m</x:v>
      </x:c>
      <x:c r="D67" s="3" t="str">
        <x:v>Hermite端位移读取与式(3)尺度变换</x:v>
      </x:c>
      <x:c r="E67" s="3" t="str">
        <x:v>正文0.005470926m；同一模型下高度一致。</x:v>
      </x:c>
    </x:row>
  </x:sheetData>
  <x:pageMargins left="0.7" right="0.7" top="0.75" bottom="0.75" header="0.3" footer="0.3"/>
  <x:tableParts count="1">
    <x:tablePart xmlns:r="http://schemas.openxmlformats.org/officeDocument/2006/relationships" r:id="R5938aa1d2daa43f9"/>
  </x:tableParts>
</x:worksheet>
</file>

<file path=xl/worksheets/sheet4.xml><?xml version="1.0" encoding="utf-8"?>
<x:worksheet xmlns:x="http://schemas.openxmlformats.org/spreadsheetml/2006/main">
  <x:sheetPr>
    <x:tabColor rgb="FF0F766E"/>
  </x:sheetPr>
  <x:sheetViews>
    <x:sheetView showGridLines="0" workbookViewId="0">
      <x:pane xSplit="2" ySplit="6" topLeftCell="C7" activePane="bottomRight" state="frozen"/>
    </x:sheetView>
  </x:sheetViews>
  <x:sheetFormatPr defaultRowHeight="15"/>
  <x:cols>
    <x:col min="1" max="1" width="8" hidden="0" customWidth="1"/>
    <x:col min="2" max="2" width="30" hidden="0" customWidth="1"/>
    <x:col min="3" max="3" width="21" hidden="0" customWidth="1"/>
    <x:col min="4" max="4" width="16" hidden="0" customWidth="1"/>
    <x:col min="5" max="5" width="24" hidden="0" customWidth="1"/>
    <x:col min="6" max="6" width="22" hidden="0" customWidth="1"/>
    <x:col min="7" max="7" width="18" hidden="0" customWidth="1"/>
    <x:col min="8" max="8" width="49" hidden="0" customWidth="1"/>
    <x:col min="9" max="9" width="48" hidden="0" customWidth="1"/>
  </x:cols>
  <x:sheetData>
    <x:row r="1" ht="32" customHeight="1">
      <x:c r="A1" s="19" t="str">
        <x:v>建模参数依据｜文献参考、设计假设与派生量</x:v>
      </x:c>
      <x:c r="B1" s="18"/>
      <x:c r="C1" s="18"/>
      <x:c r="D1" s="18"/>
      <x:c r="E1" s="18"/>
      <x:c r="F1" s="18"/>
      <x:c r="G1" s="18"/>
      <x:c r="H1" s="18"/>
      <x:c r="I1" s="18"/>
    </x:row>
    <x:row r="2" ht="24" customHeight="1">
      <x:c r="A2" s="20" t="str">
        <x:v>新基准：Sylgard 184 材料参考点 + N50名义磁芯；不是任何已测实体导管的复刻或校准。</x:v>
      </x:c>
      <x:c r="B2" s="18"/>
      <x:c r="C2" s="18"/>
      <x:c r="D2" s="18"/>
      <x:c r="E2" s="18"/>
      <x:c r="F2" s="18"/>
      <x:c r="G2" s="18"/>
      <x:c r="H2" s="18"/>
      <x:c r="I2" s="18"/>
    </x:row>
    <x:row r="3" ht="24" customHeight="1">
      <x:c r="A3" s="20" t="str">
        <x:v>70项输入、计算和条件预算逐项列明依据。材料/规格值有真实来源；阻尼、工况和容差保留明确假设标签。</x:v>
      </x:c>
      <x:c r="B3" s="18"/>
      <x:c r="C3" s="18"/>
      <x:c r="D3" s="18"/>
      <x:c r="E3" s="18"/>
      <x:c r="F3" s="18"/>
      <x:c r="G3" s="18"/>
      <x:c r="H3" s="18"/>
      <x:c r="I3" s="18"/>
    </x:row>
    <x:row r="4" ht="24" customHeight="1">
      <x:c r="A4" s="20" t="str">
        <x:v>C列公式可计算；ω、d、ℓ为脚本导出的FE结果，修改输入后需重跑。旧201条历史结果不因此自动更新。</x:v>
      </x:c>
      <x:c r="B4" s="18"/>
      <x:c r="C4" s="18"/>
      <x:c r="D4" s="18"/>
      <x:c r="E4" s="18"/>
      <x:c r="F4" s="18"/>
      <x:c r="G4" s="18"/>
      <x:c r="H4" s="18"/>
      <x:c r="I4" s="18"/>
    </x:row>
    <x:row r="5" ht="24" customHeight="1">
      <x:c r="A5" s="20" t="str">
        <x:v>新基准尚未重做完整CHNN、COMSOL、区间KAM与非零误差能量证书；本轮验证范围见下方及随附复算包。</x:v>
      </x:c>
      <x:c r="B5" s="18"/>
      <x:c r="C5" s="18"/>
      <x:c r="D5" s="18"/>
      <x:c r="E5" s="18"/>
      <x:c r="F5" s="18"/>
      <x:c r="G5" s="18"/>
      <x:c r="H5" s="18"/>
      <x:c r="I5" s="18"/>
    </x:row>
    <x:row r="6" ht="32" customHeight="1">
      <x:c r="A6" s="22" t="str">
        <x:v>编号</x:v>
      </x:c>
      <x:c r="B6" s="22" t="str">
        <x:v>参数或模型项</x:v>
      </x:c>
      <x:c r="C6" s="22" t="str">
        <x:v>新基准采用值</x:v>
      </x:c>
      <x:c r="D6" s="22" t="str">
        <x:v>单位</x:v>
      </x:c>
      <x:c r="E6" s="22" t="str">
        <x:v>依据类型</x:v>
      </x:c>
      <x:c r="F6" s="22" t="str">
        <x:v>原稿/前版值</x:v>
      </x:c>
      <x:c r="G6" s="22" t="str">
        <x:v>来源编号</x:v>
      </x:c>
      <x:c r="H6" s="22" t="str">
        <x:v>选取理由与计算关系</x:v>
      </x:c>
      <x:c r="I6" s="22" t="str">
        <x:v>适用条件/尚需验证</x:v>
      </x:c>
    </x:row>
    <x:row r="7" ht="44" customHeight="1">
      <x:c r="A7" s="17" t="str">
        <x:v>P01</x:v>
      </x:c>
      <x:c r="B7" s="17" t="str">
        <x:v>自由梁长度 L</x:v>
      </x:c>
      <x:c r="C7" s="23" t="n">
        <x:v>0.08</x:v>
      </x:c>
      <x:c r="D7" s="17" t="str">
        <x:v>m</x:v>
      </x:c>
      <x:c r="E7" s="17" t="str">
        <x:v>研究设计</x:v>
      </x:c>
      <x:c r="F7" s="17" t="n">
        <x:v>0.08</x:v>
      </x:c>
      <x:c r="G7" s="17" t="str">
        <x:v>S03；L01</x:v>
      </x:c>
      <x:c r="H7" s="17" t="str">
        <x:v>保留原几何；软杆原文100mm仅作尺寸尺度对照。</x:v>
      </x:c>
      <x:c r="I7" s="17" t="str">
        <x:v>测量有效夹持位置；新基准不是现成器件复刻。</x:v>
      </x:c>
    </x:row>
    <x:row r="8" ht="44" customHeight="1">
      <x:c r="A8" s="17" t="str">
        <x:v>P02</x:v>
      </x:c>
      <x:c r="B8" s="17" t="str">
        <x:v>实心圆截面半径 r</x:v>
      </x:c>
      <x:c r="C8" s="23" t="n">
        <x:v>0.0006</x:v>
      </x:c>
      <x:c r="D8" s="17" t="str">
        <x:v>m</x:v>
      </x:c>
      <x:c r="E8" s="17" t="str">
        <x:v>研究设计</x:v>
      </x:c>
      <x:c r="F8" s="17" t="n">
        <x:v>0.0006</x:v>
      </x:c>
      <x:c r="G8" s="17" t="str">
        <x:v>S03；L01</x:v>
      </x:c>
      <x:c r="H8" s="17" t="str">
        <x:v>与Tong报告半径同尺度；L/(2r)≈66.7。</x:v>
      </x:c>
      <x:c r="I8" s="17" t="str">
        <x:v>空心、编织或分层导管不能沿用此A、I。</x:v>
      </x:c>
    </x:row>
    <x:row r="9" ht="44" customHeight="1">
      <x:c r="A9" s="17" t="str">
        <x:v>P03</x:v>
      </x:c>
      <x:c r="B9" s="17" t="str">
        <x:v>杨氏模量 E（近似）</x:v>
      </x:c>
      <x:c r="C9" s="24" t="n">
        <x:v>2100000</x:v>
      </x:c>
      <x:c r="D9" s="17" t="str">
        <x:v>Pa</x:v>
      </x:c>
      <x:c r="E9" s="17" t="str">
        <x:v>文献实测参考</x:v>
      </x:c>
      <x:c r="F9" s="17" t="n">
        <x:v>5000000</x:v>
      </x:c>
      <x:c r="G9" s="17" t="str">
        <x:v>L10</x:v>
      </x:c>
      <x:c r="H9" s="17" t="str">
        <x:v>Cho2021同配方实验点约2.1MPa；不使用异配方填料或整体等效E。</x:v>
      </x:c>
      <x:c r="I9" s="17" t="str">
        <x:v>原文是近似值；目标圆梁未测，E±20%仅情景。</x:v>
      </x:c>
    </x:row>
    <x:row r="10" ht="44" customHeight="1">
      <x:c r="A10" s="17" t="str">
        <x:v>P04</x:v>
      </x:c>
      <x:c r="B10" s="17" t="str">
        <x:v>材料密度 ρ（近似）</x:v>
      </x:c>
      <x:c r="C10" s="24" t="n">
        <x:v>1028</x:v>
      </x:c>
      <x:c r="D10" s="17" t="str">
        <x:v>kg/m³</x:v>
      </x:c>
      <x:c r="E10" s="17" t="str">
        <x:v>文献实测参考</x:v>
      </x:c>
      <x:c r="F10" s="17" t="n">
        <x:v>1100</x:v>
      </x:c>
      <x:c r="G10" s="17" t="str">
        <x:v>L10</x:v>
      </x:c>
      <x:c r="H10" s="17" t="str">
        <x:v>同文同约10wt%固化剂的1.028g/cm³。</x:v>
      </x:c>
      <x:c r="I10" s="17" t="str">
        <x:v>不是磁性复合材料或已装配器件总密度。</x:v>
      </x:c>
    </x:row>
    <x:row r="11" ht="44" customHeight="1">
      <x:c r="A11" s="17" t="str">
        <x:v>P05</x:v>
      </x:c>
      <x:c r="B11" s="17" t="str">
        <x:v>固化剂质量分数（约）</x:v>
      </x:c>
      <x:c r="C11" s="25" t="n">
        <x:v>0.1</x:v>
      </x:c>
      <x:c r="D11" s="17" t="str">
        <x:v>1</x:v>
      </x:c>
      <x:c r="E11" s="26" t="str">
        <x:v>文献制备条件</x:v>
      </x:c>
      <x:c r="F11" s="17" t="str">
        <x:v>原稿未指定</x:v>
      </x:c>
      <x:c r="G11" s="17" t="str">
        <x:v>L10</x:v>
      </x:c>
      <x:c r="H11" s="17" t="str">
        <x:v>指固化剂占总混合物约10%；基料:固化剂约9:1。</x:v>
      </x:c>
      <x:c r="I11" s="17" t="str">
        <x:v>不要误写10:1；制备与测试条件影响物性。</x:v>
      </x:c>
    </x:row>
    <x:row r="12" ht="44" customHeight="1">
      <x:c r="A12" s="17" t="str">
        <x:v>P06</x:v>
      </x:c>
      <x:c r="B12" s="17" t="str">
        <x:v>固化温度</x:v>
      </x:c>
      <x:c r="C12" s="27" t="n">
        <x:v>80</x:v>
      </x:c>
      <x:c r="D12" s="17" t="str">
        <x:v>°C</x:v>
      </x:c>
      <x:c r="E12" s="26" t="str">
        <x:v>文献制备条件</x:v>
      </x:c>
      <x:c r="F12" s="17" t="str">
        <x:v>原稿未指定</x:v>
      </x:c>
      <x:c r="G12" s="17" t="str">
        <x:v>L10</x:v>
      </x:c>
      <x:c r="H12" s="17" t="str">
        <x:v>按Cho文献材料制备条件。</x:v>
      </x:c>
      <x:c r="I12" s="17" t="str">
        <x:v>不是设备工作温度；组装磁芯应在固化冷却后。</x:v>
      </x:c>
    </x:row>
    <x:row r="13" ht="44" customHeight="1">
      <x:c r="A13" s="17" t="str">
        <x:v>P07</x:v>
      </x:c>
      <x:c r="B13" s="17" t="str">
        <x:v>固化时间</x:v>
      </x:c>
      <x:c r="C13" s="27" t="n">
        <x:v>2</x:v>
      </x:c>
      <x:c r="D13" s="17" t="str">
        <x:v>h</x:v>
      </x:c>
      <x:c r="E13" s="26" t="str">
        <x:v>文献制备条件</x:v>
      </x:c>
      <x:c r="F13" s="17" t="str">
        <x:v>原稿未指定</x:v>
      </x:c>
      <x:c r="G13" s="17" t="str">
        <x:v>L10</x:v>
      </x:c>
      <x:c r="H13" s="17" t="str">
        <x:v>按Cho文献材料制备条件。</x:v>
      </x:c>
      <x:c r="I13" s="17" t="str">
        <x:v>与别的固化流程不能当同批材料。</x:v>
      </x:c>
    </x:row>
    <x:row r="14" ht="44" customHeight="1">
      <x:c r="A14" s="17" t="str">
        <x:v>P08</x:v>
      </x:c>
      <x:c r="B14" s="17" t="str">
        <x:v>裸磁芯立方边长 a</x:v>
      </x:c>
      <x:c r="C14" s="23" t="n">
        <x:v>0.00025</x:v>
      </x:c>
      <x:c r="D14" s="17" t="str">
        <x:v>m</x:v>
      </x:c>
      <x:c r="E14" s="17" t="str">
        <x:v>明确磁芯设计</x:v>
      </x:c>
      <x:c r="F14" s="17" t="str">
        <x:v>原稿未给几何</x:v>
      </x:c>
      <x:c r="G14" s="17" t="str">
        <x:v>L12</x:v>
      </x:c>
      <x:c r="H14" s="17" t="str">
        <x:v>选择.250mm微磁芯尺度；没有反向调整尺寸去保持旧μ。</x:v>
      </x:c>
      <x:c r="I14" s="17" t="str">
        <x:v>不是C0005-10的已测去涂层尺寸。</x:v>
      </x:c>
    </x:row>
    <x:row r="15" ht="44" customHeight="1">
      <x:c r="A15" s="17" t="str">
        <x:v>P09</x:v>
      </x:c>
      <x:c r="B15" s="17" t="str">
        <x:v>N50剩磁 Br 下限</x:v>
      </x:c>
      <x:c r="C15" s="23" t="n">
        <x:v>1.4</x:v>
      </x:c>
      <x:c r="D15" s="17" t="str">
        <x:v>T</x:v>
      </x:c>
      <x:c r="E15" s="17" t="str">
        <x:v>厂家牌号范围</x:v>
      </x:c>
      <x:c r="F15" s="17" t="str">
        <x:v>未给</x:v>
      </x:c>
      <x:c r="G15" s="17" t="str">
        <x:v>L11</x:v>
      </x:c>
      <x:c r="H15" s="17" t="str">
        <x:v>N50牌号材料表。</x:v>
      </x:c>
      <x:c r="I15" s="17" t="str">
        <x:v>只反映Br范围，不含尺寸/磁化/温度误差。</x:v>
      </x:c>
    </x:row>
    <x:row r="16" ht="44" customHeight="1">
      <x:c r="A16" s="17" t="str">
        <x:v>P10</x:v>
      </x:c>
      <x:c r="B16" s="17" t="str">
        <x:v>N50剩磁 Br 上限</x:v>
      </x:c>
      <x:c r="C16" s="23" t="n">
        <x:v>1.45</x:v>
      </x:c>
      <x:c r="D16" s="17" t="str">
        <x:v>T</x:v>
      </x:c>
      <x:c r="E16" s="17" t="str">
        <x:v>厂家牌号范围</x:v>
      </x:c>
      <x:c r="F16" s="17" t="str">
        <x:v>未给</x:v>
      </x:c>
      <x:c r="G16" s="17" t="str">
        <x:v>L11</x:v>
      </x:c>
      <x:c r="H16" s="17" t="str">
        <x:v>N50牌号材料表。</x:v>
      </x:c>
      <x:c r="I16" s="17" t="str">
        <x:v>不是目标单件校准结果。</x:v>
      </x:c>
    </x:row>
    <x:row r="17" ht="44" customHeight="1">
      <x:c r="A17" s="17" t="str">
        <x:v>P11</x:v>
      </x:c>
      <x:c r="B17" s="17" t="str">
        <x:v>Br 名义中点</x:v>
      </x:c>
      <x:c r="C17" s="23" t="n">
        <x:f>(C15+C16)/2</x:f>
        <x:v>1.4249999999999998</x:v>
      </x:c>
      <x:c r="D17" s="17" t="str">
        <x:v>T</x:v>
      </x:c>
      <x:c r="E17" s="17" t="str">
        <x:v>规格范围内选择</x:v>
      </x:c>
      <x:c r="F17" s="17" t="str">
        <x:v>未给</x:v>
      </x:c>
      <x:c r="G17" s="17" t="str">
        <x:v>L11</x:v>
      </x:c>
      <x:c r="H17" s="17" t="str">
        <x:v>作为计算基准点。</x:v>
      </x:c>
      <x:c r="I17" s="17" t="str">
        <x:v>中点不代表统计均值或置信区间。</x:v>
      </x:c>
    </x:row>
    <x:row r="18" ht="44" customHeight="1">
      <x:c r="A18" s="17" t="str">
        <x:v>P12</x:v>
      </x:c>
      <x:c r="B18" s="17" t="str">
        <x:v>磁芯名义密度 ρm</x:v>
      </x:c>
      <x:c r="C18" s="24" t="n">
        <x:v>7500</x:v>
      </x:c>
      <x:c r="D18" s="17" t="str">
        <x:v>kg/m³</x:v>
      </x:c>
      <x:c r="E18" s="17" t="str">
        <x:v>规格下限选为名义点</x:v>
      </x:c>
      <x:c r="F18" s="17" t="str">
        <x:v>未给</x:v>
      </x:c>
      <x:c r="G18" s="17" t="str">
        <x:v>L11</x:v>
      </x:c>
      <x:c r="H18" s="17" t="str">
        <x:v>厂家给≥7.5g/cm³；取7500用于质量建模。</x:v>
      </x:c>
      <x:c r="I18" s="17" t="str">
        <x:v>惯性±10%是独立矩阵扰动；负10%不代表同尺寸N50规格内密度公差。</x:v>
      </x:c>
    </x:row>
    <x:row r="19" ht="44" customHeight="1">
      <x:c r="A19" s="17" t="str">
        <x:v>P13</x:v>
      </x:c>
      <x:c r="B19" s="17" t="str">
        <x:v>真空磁导率近似 μ0</x:v>
      </x:c>
      <x:c r="C19" s="28" t="n">
        <x:v>0.0000012566370614359173</x:v>
      </x:c>
      <x:c r="D19" s="17" t="str">
        <x:v>H/m</x:v>
      </x:c>
      <x:c r="E19" s="17" t="str">
        <x:v>物理常数近似</x:v>
      </x:c>
      <x:c r="F19" s="17" t="str">
        <x:v>未给</x:v>
      </x:c>
      <x:c r="G19" s="17" t="str">
        <x:v>L14</x:v>
      </x:c>
      <x:c r="H19" s="17" t="str">
        <x:v>本工程精度下采用4π×10⁻⁷近似。</x:v>
      </x:c>
      <x:c r="I19" s="17" t="str">
        <x:v>现代SI下不将它声称为严格精确常数。</x:v>
      </x:c>
    </x:row>
    <x:row r="20" ht="44" customHeight="1">
      <x:c r="A20" s="17" t="str">
        <x:v>P14</x:v>
      </x:c>
      <x:c r="B20" s="17" t="str">
        <x:v>磁芯体积 Vm</x:v>
      </x:c>
      <x:c r="C20" s="28" t="n">
        <x:f>C14^3</x:f>
        <x:v>1.5625e-11</x:v>
      </x:c>
      <x:c r="D20" s="17" t="str">
        <x:v>m³</x:v>
      </x:c>
      <x:c r="E20" s="17" t="str">
        <x:v>公式派生</x:v>
      </x:c>
      <x:c r="F20" s="17" t="str">
        <x:v>未给</x:v>
      </x:c>
      <x:c r="G20" s="17" t="str">
        <x:v>P08</x:v>
      </x:c>
      <x:c r="H20" s="17" t="str">
        <x:v>Vm=a³。</x:v>
      </x:c>
      <x:c r="I20" s="17" t="str">
        <x:v>仅裸芯，不包含涂层或封装。</x:v>
      </x:c>
    </x:row>
    <x:row r="21" ht="44" customHeight="1">
      <x:c r="A21" s="17" t="str">
        <x:v>P15</x:v>
      </x:c>
      <x:c r="B21" s="17" t="str">
        <x:v>端部磁芯质量 mt</x:v>
      </x:c>
      <x:c r="C21" s="28" t="n">
        <x:f>C18*C20</x:f>
        <x:v>1.171875e-7</x:v>
      </x:c>
      <x:c r="D21" s="17" t="str">
        <x:v>kg</x:v>
      </x:c>
      <x:c r="E21" s="17" t="str">
        <x:v>公式派生</x:v>
      </x:c>
      <x:c r="F21" s="17" t="str">
        <x:v>旧模型忽略端质量</x:v>
      </x:c>
      <x:c r="G21" s="17" t="str">
        <x:v>P12、P14</x:v>
      </x:c>
      <x:c r="H21" s="17" t="str">
        <x:v>mt=ρmVm；进入末端平移质量矩阵。</x:v>
      </x:c>
      <x:c r="I21" s="17" t="str">
        <x:v>涂层、胶、支架实物应另计。</x:v>
      </x:c>
    </x:row>
    <x:row r="22" ht="44" customHeight="1">
      <x:c r="A22" s="17" t="str">
        <x:v>P16</x:v>
      </x:c>
      <x:c r="B22" s="17" t="str">
        <x:v>端磁芯横向转动惯量 Jt</x:v>
      </x:c>
      <x:c r="C22" s="28" t="n">
        <x:f>C21*C14^2/6</x:f>
        <x:v>1.220703125e-15</x:v>
      </x:c>
      <x:c r="D22" s="17" t="str">
        <x:v>kg·m²</x:v>
      </x:c>
      <x:c r="E22" s="17" t="str">
        <x:v>公式派生</x:v>
      </x:c>
      <x:c r="F22" s="17" t="str">
        <x:v>旧模型忽略</x:v>
      </x:c>
      <x:c r="G22" s="17" t="str">
        <x:v>P08、P15</x:v>
      </x:c>
      <x:c r="H22" s="17" t="str">
        <x:v>Jt=mt a²/6；中心与理想梁端重合。</x:v>
      </x:c>
      <x:c r="I22" s="17" t="str">
        <x:v>质心偏移e≠0时应加入惯性耦合项。</x:v>
      </x:c>
    </x:row>
    <x:row r="23" ht="44" customHeight="1">
      <x:c r="A23" s="17" t="str">
        <x:v>P17</x:v>
      </x:c>
      <x:c r="B23" s="17" t="str">
        <x:v>端磁矩 μ（名义近似）</x:v>
      </x:c>
      <x:c r="C23" s="28" t="n">
        <x:f>C17*C20/C19</x:f>
        <x:v>0.000017718421398902408</x:v>
      </x:c>
      <x:c r="D23" s="17" t="str">
        <x:v>A·m²</x:v>
      </x:c>
      <x:c r="E23" s="17" t="str">
        <x:v>公式+规格派生</x:v>
      </x:c>
      <x:c r="F23" s="17" t="n">
        <x:v>0.00002</x:v>
      </x:c>
      <x:c r="G23" s="17" t="str">
        <x:v>L11、L14；P08–P14</x:v>
      </x:c>
      <x:c r="H23" s="17" t="str">
        <x:v>μ≈BrVm/μ0，均匀硬磁体工程近似。</x:v>
      </x:c>
      <x:c r="I23" s="17" t="str">
        <x:v>磁化沿参考梁切线；实际磁矩仍需标定。</x:v>
      </x:c>
    </x:row>
    <x:row r="24" ht="44" customHeight="1">
      <x:c r="A24" s="17" t="str">
        <x:v>P18</x:v>
      </x:c>
      <x:c r="B24" s="17" t="str">
        <x:v>偏置场 B0</x:v>
      </x:c>
      <x:c r="C24" s="23" t="n">
        <x:v>0.03</x:v>
      </x:c>
      <x:c r="D24" s="17" t="str">
        <x:v>T</x:v>
      </x:c>
      <x:c r="E24" s="17" t="str">
        <x:v>文献能力范围内设计</x:v>
      </x:c>
      <x:c r="F24" s="17" t="n">
        <x:v>0.03</x:v>
      </x:c>
      <x:c r="G24" s="17" t="str">
        <x:v>S03；L15</x:v>
      </x:c>
      <x:c r="H24" s="17" t="str">
        <x:v>保留30mT设计工作点；已有原研究使用40mT总模场。</x:v>
      </x:c>
      <x:c r="I24" s="17" t="str">
        <x:v>不因此声称本文场/梯度联合控制已实现。</x:v>
      </x:c>
    </x:row>
    <x:row r="25" ht="44" customHeight="1">
      <x:c r="A25" s="17" t="str">
        <x:v>P19</x:v>
      </x:c>
      <x:c r="B25" s="17" t="str">
        <x:v>开环横向场幅值 Ba</x:v>
      </x:c>
      <x:c r="C25" s="23" t="n">
        <x:v>0.006</x:v>
      </x:c>
      <x:c r="D25" s="17" t="str">
        <x:v>T</x:v>
      </x:c>
      <x:c r="E25" s="17" t="str">
        <x:v>激励设计</x:v>
      </x:c>
      <x:c r="F25" s="17" t="n">
        <x:v>0.006</x:v>
      </x:c>
      <x:c r="G25" s="17" t="str">
        <x:v>S03；L15</x:v>
      </x:c>
      <x:c r="H25" s="17" t="str">
        <x:v>保留6mT参照激励；与偏置合成检查。</x:v>
      </x:c>
      <x:c r="I25" s="17" t="str">
        <x:v>不是最小闭环的固定输出幅值。</x:v>
      </x:c>
    </x:row>
    <x:row r="26" ht="44" customHeight="1">
      <x:c r="A26" s="17" t="str">
        <x:v>P20</x:v>
      </x:c>
      <x:c r="B26" s="17" t="str">
        <x:v>横向场对照限值</x:v>
      </x:c>
      <x:c r="C26" s="23" t="n">
        <x:v>0.02</x:v>
      </x:c>
      <x:c r="D26" s="17" t="str">
        <x:v>T</x:v>
      </x:c>
      <x:c r="E26" s="17" t="str">
        <x:v>控制能力对照</x:v>
      </x:c>
      <x:c r="F26" s="17" t="n">
        <x:v>0.02</x:v>
      </x:c>
      <x:c r="G26" s="17" t="str">
        <x:v>S04；L15</x:v>
      </x:c>
      <x:c r="H26" s="17" t="str">
        <x:v>沿用原稿20mT作请求幅值对照；本轮最小代码未施加饱和。</x:v>
      </x:c>
      <x:c r="I26" s="17" t="str">
        <x:v>数值请求低于限值不等于验证饱和控制器或硬件带宽。</x:v>
      </x:c>
    </x:row>
    <x:row r="27" ht="44" customHeight="1">
      <x:c r="A27" s="17" t="str">
        <x:v>P21</x:v>
      </x:c>
      <x:c r="B27" s="17" t="str">
        <x:v>偏置+限幅时总场模</x:v>
      </x:c>
      <x:c r="C27" s="23" t="n">
        <x:f>SQRT(C24^2+C26^2)</x:f>
        <x:v>0.03605551275463989</x:v>
      </x:c>
      <x:c r="D27" s="17" t="str">
        <x:v>T</x:v>
      </x:c>
      <x:c r="E27" s="17" t="str">
        <x:v>公式派生</x:v>
      </x:c>
      <x:c r="F27" s="17" t="str">
        <x:v>原稿未单列</x:v>
      </x:c>
      <x:c r="G27" s="17" t="str">
        <x:v>P18、P20</x:v>
      </x:c>
      <x:c r="H27" s="17" t="str">
        <x:v>正交分量总模sqrt(B0²+Bymax²)。</x:v>
      </x:c>
      <x:c r="I27" s="17" t="str">
        <x:v>仅幅值合成；不验证线圈联合可达域。</x:v>
      </x:c>
    </x:row>
    <x:row r="28" ht="44" customHeight="1">
      <x:c r="A28" s="17" t="str">
        <x:v>P22</x:v>
      </x:c>
      <x:c r="B28" s="17" t="str">
        <x:v>文献系统场模对照</x:v>
      </x:c>
      <x:c r="C28" s="23" t="n">
        <x:v>0.04</x:v>
      </x:c>
      <x:c r="D28" s="17" t="str">
        <x:v>T</x:v>
      </x:c>
      <x:c r="E28" s="17" t="str">
        <x:v>外部系统能力参考</x:v>
      </x:c>
      <x:c r="F28" s="17" t="str">
        <x:v>未单列</x:v>
      </x:c>
      <x:c r="G28" s="17" t="str">
        <x:v>L15</x:v>
      </x:c>
      <x:c r="H28" s="17" t="str">
        <x:v>Lussi2021所用OctoMag报告40mT任意方向。</x:v>
      </x:c>
      <x:c r="I28" s="17" t="str">
        <x:v>不是本文采购/标定的40mT保证；不外推带宽。</x:v>
      </x:c>
    </x:row>
    <x:row r="29" ht="44" customHeight="1">
      <x:c r="A29" s="17" t="str">
        <x:v>P23</x:v>
      </x:c>
      <x:c r="B29" s="17" t="str">
        <x:v>第一模态阻尼比 ζ1</x:v>
      </x:c>
      <x:c r="C29" s="25" t="n">
        <x:v>0.025</x:v>
      </x:c>
      <x:c r="D29" s="17" t="str">
        <x:v>1</x:v>
      </x:c>
      <x:c r="E29" s="26" t="str">
        <x:v>等效阻尼情景</x:v>
      </x:c>
      <x:c r="F29" s="17" t="n">
        <x:v>0.025</x:v>
      </x:c>
      <x:c r="G29" s="17" t="str">
        <x:v>S03；L16；C01</x:v>
      </x:c>
      <x:c r="H29" s="17" t="str">
        <x:v>新定义针对含偏置且含端质量的ω1；另测ζ=0,.01,.05,.1。</x:v>
      </x:c>
      <x:c r="I29" s="17" t="str">
        <x:v>没有同配方同频实测来源，不作为真实材料常数。</x:v>
      </x:c>
    </x:row>
    <x:row r="30" ht="44" customHeight="1">
      <x:c r="A30" s="17" t="str">
        <x:v>P24</x:v>
      </x:c>
      <x:c r="B30" s="17" t="str">
        <x:v>质量比例阻尼 α</x:v>
      </x:c>
      <x:c r="C30" s="23" t="n">
        <x:f>2*C29*C64</x:f>
        <x:v>0.3920004580920046</x:v>
      </x:c>
      <x:c r="D30" s="17" t="str">
        <x:v>s⁻¹</x:v>
      </x:c>
      <x:c r="E30" s="17" t="str">
        <x:v>设计值派生</x:v>
      </x:c>
      <x:c r="F30" s="17" t="n">
        <x:v>0.55558524</x:v>
      </x:c>
      <x:c r="G30" s="17" t="str">
        <x:v>P23、D06</x:v>
      </x:c>
      <x:c r="H30" s="17" t="str">
        <x:v>α=2ζ1ω1；C=αM_total。</x:v>
      </x:c>
      <x:c r="I30" s="17" t="str">
        <x:v>端质量也有对应等效阻尼；不是已识别流体或材料损耗。</x:v>
      </x:c>
    </x:row>
    <x:row r="31" ht="44" customHeight="1">
      <x:c r="A31" s="17" t="str">
        <x:v>P25</x:v>
      </x:c>
      <x:c r="B31" s="17" t="str">
        <x:v>无量纲阻尼 γ</x:v>
      </x:c>
      <x:c r="C31" s="23" t="n">
        <x:f>C30/C64</x:f>
        <x:v>0.05</x:v>
      </x:c>
      <x:c r="D31" s="17" t="str">
        <x:v>1</x:v>
      </x:c>
      <x:c r="E31" s="17" t="str">
        <x:v>公式派生</x:v>
      </x:c>
      <x:c r="F31" s="17" t="n">
        <x:v>0.0486617553</x:v>
      </x:c>
      <x:c r="G31" s="17" t="str">
        <x:v>P24、D06</x:v>
      </x:c>
      <x:c r="H31" s="17" t="str">
        <x:v>γ=α/ω1=2ζ1。</x:v>
      </x:c>
      <x:c r="I31" s="17" t="str">
        <x:v>只对本质量比例模型成立。</x:v>
      </x:c>
    </x:row>
    <x:row r="32" ht="44" customHeight="1">
      <x:c r="A32" s="17" t="str">
        <x:v>P26</x:v>
      </x:c>
      <x:c r="B32" s="17" t="str">
        <x:v>Hermite单元数 Ne</x:v>
      </x:c>
      <x:c r="C32" s="27" t="n">
        <x:v>32</x:v>
      </x:c>
      <x:c r="D32" s="17" t="str">
        <x:v>个</x:v>
      </x:c>
      <x:c r="E32" s="17" t="str">
        <x:v>数值离散设计</x:v>
      </x:c>
      <x:c r="F32" s="17" t="n">
        <x:v>32</x:v>
      </x:c>
      <x:c r="G32" s="17" t="str">
        <x:v>C01</x:v>
      </x:c>
      <x:c r="H32" s="17" t="str">
        <x:v>一致质量；16/32/64网格核前4频率。</x:v>
      </x:c>
      <x:c r="I32" s="17" t="str">
        <x:v>频率收敛不等同全非线性轨迹/高模态截断收敛。</x:v>
      </x:c>
    </x:row>
    <x:row r="33" ht="44" customHeight="1">
      <x:c r="A33" s="17" t="str">
        <x:v>P27</x:v>
      </x:c>
      <x:c r="B33" s="17" t="str">
        <x:v>夹持后FE自由坐标数</x:v>
      </x:c>
      <x:c r="C33" s="27" t="n">
        <x:f>2*C32</x:f>
        <x:v>64</x:v>
      </x:c>
      <x:c r="D33" s="17" t="str">
        <x:v>个</x:v>
      </x:c>
      <x:c r="E33" s="17" t="str">
        <x:v>公式派生</x:v>
      </x:c>
      <x:c r="F33" s="17" t="n">
        <x:v>64</x:v>
      </x:c>
      <x:c r="G33" s="17" t="str">
        <x:v>P26</x:v>
      </x:c>
      <x:c r="H33" s="17" t="str">
        <x:v>2(Ne+1)−2=2Ne。</x:v>
      </x:c>
      <x:c r="I33" s="17" t="str">
        <x:v>相空间维数为两倍。</x:v>
      </x:c>
    </x:row>
    <x:row r="34" ht="44" customHeight="1">
      <x:c r="A34" s="17" t="str">
        <x:v>P28</x:v>
      </x:c>
      <x:c r="B34" s="17" t="str">
        <x:v>最小学习/控制保留模态数</x:v>
      </x:c>
      <x:c r="C34" s="27" t="n">
        <x:v>2</x:v>
      </x:c>
      <x:c r="D34" s="17" t="str">
        <x:v>个</x:v>
      </x:c>
      <x:c r="E34" s="17" t="str">
        <x:v>方法演示设计</x:v>
      </x:c>
      <x:c r="F34" s="17" t="n">
        <x:v>2</x:v>
      </x:c>
      <x:c r="G34" s="17" t="str">
        <x:v>S03；C01</x:v>
      </x:c>
      <x:c r="H34" s="17" t="str">
        <x:v>与两自由度数学结构一致；单独检验最小闭环。</x:v>
      </x:c>
      <x:c r="I34" s="17" t="str">
        <x:v>尚未重新完成新基准2/4/8/全阶受迫响应对照。</x:v>
      </x:c>
    </x:row>
    <x:row r="35" ht="44" customHeight="1">
      <x:c r="A35" s="17" t="str">
        <x:v>P29</x:v>
      </x:c>
      <x:c r="B35" s="17" t="str">
        <x:v>横向重力、接触/外流载荷</x:v>
      </x:c>
      <x:c r="C35" s="23" t="n">
        <x:v>0</x:v>
      </x:c>
      <x:c r="D35" s="17" t="str">
        <x:v>模型假设</x:v>
      </x:c>
      <x:c r="E35" s="17" t="str">
        <x:v>理论理想化</x:v>
      </x:c>
      <x:c r="F35" s="17" t="n">
        <x:v>0</x:v>
      </x:c>
      <x:c r="G35" s="17" t="str">
        <x:v>S03；本轮模型声明</x:v>
      </x:c>
      <x:c r="H35" s="17" t="str">
        <x:v>保持无重力、无接触、无外流的平面理论算例。</x:v>
      </x:c>
      <x:c r="I35" s="17" t="str">
        <x:v>不映射真实体内/浸液/水平重力实验；需加入相应载荷与附加质量。</x:v>
      </x:c>
    </x:row>
    <x:row r="36" ht="44" customHeight="1">
      <x:c r="A36" s="17" t="str">
        <x:v>P30</x:v>
      </x:c>
      <x:c r="B36" s="17" t="str">
        <x:v>净横向间隙 c</x:v>
      </x:c>
      <x:c r="C36" s="23" t="n">
        <x:v>0.004</x:v>
      </x:c>
      <x:c r="D36" s="17" t="str">
        <x:v>m</x:v>
      </x:c>
      <x:c r="E36" s="17" t="str">
        <x:v>几何工况对照</x:v>
      </x:c>
      <x:c r="F36" s="17" t="n">
        <x:v>0.004</x:v>
      </x:c>
      <x:c r="G36" s="17" t="str">
        <x:v>S04</x:v>
      </x:c>
      <x:c r="H36" s="17" t="str">
        <x:v>已扣除杆半径后的中心线允许位移；供后续安全工况计算。</x:v>
      </x:c>
      <x:c r="I36" s="17" t="str">
        <x:v>最小闭环无governor，未施加此安全工况；不是人体腔道统计尺寸。</x:v>
      </x:c>
    </x:row>
    <x:row r="37" ht="44" customHeight="1">
      <x:c r="A37" s="17" t="str">
        <x:v>P31</x:v>
      </x:c>
      <x:c r="B37" s="17" t="str">
        <x:v>条件能量预算系数</x:v>
      </x:c>
      <x:c r="C37" s="25" t="n">
        <x:v>0.95</x:v>
      </x:c>
      <x:c r="D37" s="17" t="str">
        <x:v>1</x:v>
      </x:c>
      <x:c r="E37" s="17" t="str">
        <x:v>裕量设计</x:v>
      </x:c>
      <x:c r="F37" s="17" t="n">
        <x:v>0.95</x:v>
      </x:c>
      <x:c r="G37" s="17" t="str">
        <x:v>S04</x:v>
      </x:c>
      <x:c r="H37" s="17" t="str">
        <x:v>预留5%能量裕量，按新Ec计算条件预算。</x:v>
      </x:c>
      <x:c r="I37" s="17" t="str">
        <x:v>最小例子初态能量约12.657nJ，高于新预算9.519nJ；不能借此宣称能量帽保证。</x:v>
      </x:c>
    </x:row>
    <x:row r="38" ht="44" customHeight="1">
      <x:c r="A38" s="17" t="str">
        <x:v>P32</x:v>
      </x:c>
      <x:c r="B38" s="17" t="str">
        <x:v>初始化能量误差预算</x:v>
      </x:c>
      <x:c r="C38" s="28" t="n">
        <x:v>5e-12</x:v>
      </x:c>
      <x:c r="D38" s="17" t="str">
        <x:v>J</x:v>
      </x:c>
      <x:c r="E38" s="26" t="str">
        <x:v>条件情景</x:v>
      </x:c>
      <x:c r="F38" s="17" t="n">
        <x:v>5e-12</x:v>
      </x:c>
      <x:c r="G38" s="17" t="str">
        <x:v>S04</x:v>
      </x:c>
      <x:c r="H38" s="17" t="str">
        <x:v>后续条件误差椭球设定；不替代完整状态初始化测试。</x:v>
      </x:c>
      <x:c r="I38" s="17" t="str">
        <x:v>未施加到本轮最小闭环；旧操作容差证书不移植。</x:v>
      </x:c>
    </x:row>
    <x:row r="39" ht="44" customHeight="1">
      <x:c r="A39" s="17" t="str">
        <x:v>P33</x:v>
      </x:c>
      <x:c r="B39" s="17" t="str">
        <x:v>人工非线性失配 β</x:v>
      </x:c>
      <x:c r="C39" s="23" t="n">
        <x:v>0.2</x:v>
      </x:c>
      <x:c r="D39" s="17" t="str">
        <x:v>1</x:v>
      </x:c>
      <x:c r="E39" s="17" t="str">
        <x:v>合成应力测试</x:v>
      </x:c>
      <x:c r="F39" s="17" t="n">
        <x:v>0.2</x:v>
      </x:c>
      <x:c r="G39" s="17" t="str">
        <x:v>最小材料包；C01</x:v>
      </x:c>
      <x:c r="H39" s="17" t="str">
        <x:v>R*=βg，检查辨识/控制链；真值人为已知。</x:v>
      </x:c>
      <x:c r="I39" s="17" t="str">
        <x:v>不是从材料或机器测得的20%误差。</x:v>
      </x:c>
    </x:row>
    <x:row r="40" ht="44" customHeight="1">
      <x:c r="A40" s="17" t="str">
        <x:v>P34</x:v>
      </x:c>
      <x:c r="B40" s="17" t="str">
        <x:v>最小算例初值相对原稿缩放</x:v>
      </x:c>
      <x:c r="C40" s="23" t="n">
        <x:v>0.5</x:v>
      </x:c>
      <x:c r="D40" s="17" t="str">
        <x:v>1</x:v>
      </x:c>
      <x:c r="E40" s="17" t="str">
        <x:v>幅值设计</x:v>
      </x:c>
      <x:c r="F40" s="17" t="n">
        <x:v>1</x:v>
      </x:c>
      <x:c r="G40" s="17" t="str">
        <x:v>C01</x:v>
      </x:c>
      <x:c r="H40" s="17" t="str">
        <x:v>新梁更软；训练、验证、初态及参考扰动统一缩半。</x:v>
      </x:c>
      <x:c r="I40" s="17" t="str">
        <x:v>报告端角/总场/梯度，保证比较仍使用相同数据协议。</x:v>
      </x:c>
    </x:row>
    <x:row r="41" ht="44" customHeight="1">
      <x:c r="A41" s="17" t="str">
        <x:v>P35</x:v>
      </x:c>
      <x:c r="B41" s="17" t="str">
        <x:v>跟踪比例增益 kp</x:v>
      </x:c>
      <x:c r="C41" s="27" t="n">
        <x:v>1</x:v>
      </x:c>
      <x:c r="D41" s="17" t="str">
        <x:v>τ⁻²</x:v>
      </x:c>
      <x:c r="E41" s="17" t="str">
        <x:v>控制器设计</x:v>
      </x:c>
      <x:c r="F41" s="17" t="n">
        <x:v>1</x:v>
      </x:c>
      <x:c r="G41" s="17" t="str">
        <x:v>最小材料包；C01</x:v>
      </x:c>
      <x:c r="H41" s="17" t="str">
        <x:v>与kd=2使理想位置误差e″+2e′+e=0。</x:v>
      </x:c>
      <x:c r="I41" s="17" t="str">
        <x:v>无量纲增益；物理时间增益应乘ω0²。</x:v>
      </x:c>
    </x:row>
    <x:row r="42" ht="44" customHeight="1">
      <x:c r="A42" s="17" t="str">
        <x:v>P36</x:v>
      </x:c>
      <x:c r="B42" s="17" t="str">
        <x:v>跟踪微分增益 kd</x:v>
      </x:c>
      <x:c r="C42" s="27" t="n">
        <x:v>2</x:v>
      </x:c>
      <x:c r="D42" s="17" t="str">
        <x:v>τ⁻¹</x:v>
      </x:c>
      <x:c r="E42" s="17" t="str">
        <x:v>控制器设计</x:v>
      </x:c>
      <x:c r="F42" s="17" t="n">
        <x:v>2</x:v>
      </x:c>
      <x:c r="G42" s="17" t="str">
        <x:v>最小材料包；C01</x:v>
      </x:c>
      <x:c r="H42" s="17" t="str">
        <x:v>理想误差系统临界阻尼；与物理材料阻尼不同。</x:v>
      </x:c>
      <x:c r="I42" s="17" t="str">
        <x:v>物理时间增益应乘ω0。</x:v>
      </x:c>
    </x:row>
    <x:row r="43" ht="44" customHeight="1">
      <x:c r="A43" s="17" t="str">
        <x:v>P37</x:v>
      </x:c>
      <x:c r="B43" s="17" t="str">
        <x:v>闭环验证终止时间</x:v>
      </x:c>
      <x:c r="C43" s="27" t="n">
        <x:v>20</x:v>
      </x:c>
      <x:c r="D43" s="17" t="str">
        <x:v>τ</x:v>
      </x:c>
      <x:c r="E43" s="17" t="str">
        <x:v>数值协议</x:v>
      </x:c>
      <x:c r="F43" s="17" t="n">
        <x:v>20</x:v>
      </x:c>
      <x:c r="G43" s="17" t="str">
        <x:v>最小材料包；C01</x:v>
      </x:c>
      <x:c r="H43" s="17" t="str">
        <x:v>保留20个无量纲时间单位；物理时长20/ω0。</x:v>
      </x:c>
      <x:c r="I43" s="17" t="str">
        <x:v>有限时对比不能证明无限时KAM。</x:v>
      </x:c>
    </x:row>
    <x:row r="44" ht="44" customHeight="1">
      <x:c r="A44" s="17" t="str">
        <x:v>P38</x:v>
      </x:c>
      <x:c r="B44" s="17" t="str">
        <x:v>隐式中点步长</x:v>
      </x:c>
      <x:c r="C44" s="23" t="n">
        <x:v>0.001</x:v>
      </x:c>
      <x:c r="D44" s="17" t="str">
        <x:v>τ</x:v>
      </x:c>
      <x:c r="E44" s="17" t="str">
        <x:v>数值协议</x:v>
      </x:c>
      <x:c r="F44" s="17" t="n">
        <x:v>0.001</x:v>
      </x:c>
      <x:c r="G44" s="17" t="str">
        <x:v>C01</x:v>
      </x:c>
      <x:c r="H44" s="17" t="str">
        <x:v>与RK4参考比较，并保持步长减半二阶检验。</x:v>
      </x:c>
      <x:c r="I44" s="17" t="str">
        <x:v>不是实际硬件采样周期。</x:v>
      </x:c>
    </x:row>
    <x:row r="45" ht="44" customHeight="1">
      <x:c r="A45" s="17" t="str">
        <x:v>P39</x:v>
      </x:c>
      <x:c r="B45" s="17" t="str">
        <x:v>RK4参考步长</x:v>
      </x:c>
      <x:c r="C45" s="23" t="n">
        <x:v>0.00025</x:v>
      </x:c>
      <x:c r="D45" s="17" t="str">
        <x:v>τ</x:v>
      </x:c>
      <x:c r="E45" s="17" t="str">
        <x:v>数值协议</x:v>
      </x:c>
      <x:c r="F45" s="17" t="n">
        <x:v>0.00025</x:v>
      </x:c>
      <x:c r="G45" s="17" t="str">
        <x:v>C01</x:v>
      </x:c>
      <x:c r="H45" s="17" t="str">
        <x:v>与.0005对照控制参考解误差。</x:v>
      </x:c>
      <x:c r="I45" s="17" t="str">
        <x:v>参考差为数值诊断，不是严格区间证书。</x:v>
      </x:c>
    </x:row>
    <x:row r="46" ht="44" customHeight="1">
      <x:c r="A46" s="17" t="str">
        <x:v>P40</x:v>
      </x:c>
      <x:c r="B46" s="17" t="str">
        <x:v>中点Newton残差容限</x:v>
      </x:c>
      <x:c r="C46" s="28" t="n">
        <x:v>2e-14</x:v>
      </x:c>
      <x:c r="D46" s="17" t="str">
        <x:v>状态增量∞范数</x:v>
      </x:c>
      <x:c r="E46" s="17" t="str">
        <x:v>数值协议</x:v>
      </x:c>
      <x:c r="F46" s="17" t="n">
        <x:v>2e-14</x:v>
      </x:c>
      <x:c r="G46" s="17" t="str">
        <x:v>最小材料包；C01</x:v>
      </x:c>
      <x:c r="H46" s="17" t="str">
        <x:v>每步最多12次校正，失败报错。</x:v>
      </x:c>
      <x:c r="I46" s="17" t="str">
        <x:v>容限不是模型精度或传感精度。</x:v>
      </x:c>
    </x:row>
    <x:row r="47" ht="44" customHeight="1">
      <x:c r="A47" s="17" t="str">
        <x:v>P41</x:v>
      </x:c>
      <x:c r="B47" s="17" t="str">
        <x:v>最小拟合训练轨迹数</x:v>
      </x:c>
      <x:c r="C47" s="27" t="n">
        <x:v>4</x:v>
      </x:c>
      <x:c r="D47" s="17" t="str">
        <x:v>条</x:v>
      </x:c>
      <x:c r="E47" s="17" t="str">
        <x:v>辨识设计</x:v>
      </x:c>
      <x:c r="F47" s="17" t="n">
        <x:v>4</x:v>
      </x:c>
      <x:c r="G47" s="17" t="str">
        <x:v>C01</x:v>
      </x:c>
      <x:c r="H47" s="17" t="str">
        <x:v>不同相位/模态幅值用于区分β、γ；检查设计矩阵满秩/条件数。</x:v>
      </x:c>
      <x:c r="I47" s="17" t="str">
        <x:v>与旧v10的12条35参数CHNN是不同试验。</x:v>
      </x:c>
    </x:row>
    <x:row r="48" ht="44" customHeight="1">
      <x:c r="A48" s="17" t="str">
        <x:v>P42</x:v>
      </x:c>
      <x:c r="B48" s="17" t="str">
        <x:v>独立验证轨迹数</x:v>
      </x:c>
      <x:c r="C48" s="27" t="n">
        <x:v>2</x:v>
      </x:c>
      <x:c r="D48" s="17" t="str">
        <x:v>条</x:v>
      </x:c>
      <x:c r="E48" s="17" t="str">
        <x:v>辨识设计</x:v>
      </x:c>
      <x:c r="F48" s="17" t="n">
        <x:v>2</x:v>
      </x:c>
      <x:c r="G48" s="17" t="str">
        <x:v>C01</x:v>
      </x:c>
      <x:c r="H48" s="17" t="str">
        <x:v>不参与拟合；本轮最小例子用两参数积分最小二乘。</x:v>
      </x:c>
      <x:c r="I48" s="17" t="str">
        <x:v>不是神经网络泛化结论。</x:v>
      </x:c>
    </x:row>
    <x:row r="49" ht="44" customHeight="1">
      <x:c r="A49" s="17" t="str">
        <x:v>P43</x:v>
      </x:c>
      <x:c r="B49" s="17" t="str">
        <x:v>每条辨识轨迹时长</x:v>
      </x:c>
      <x:c r="C49" s="27" t="n">
        <x:v>4</x:v>
      </x:c>
      <x:c r="D49" s="17" t="str">
        <x:v>τ</x:v>
      </x:c>
      <x:c r="E49" s="17" t="str">
        <x:v>辨识设计</x:v>
      </x:c>
      <x:c r="F49" s="17" t="n">
        <x:v>4</x:v>
      </x:c>
      <x:c r="G49" s="17" t="str">
        <x:v>C01</x:v>
      </x:c>
      <x:c r="H49" s="17" t="str">
        <x:v>对应识别脚本的无量纲时间。</x:v>
      </x:c>
      <x:c r="I49" s="17" t="str">
        <x:v>不可误写为4秒；物理时长为4/ω0。</x:v>
      </x:c>
    </x:row>
    <x:row r="50" ht="44" customHeight="1">
      <x:c r="A50" s="17" t="str">
        <x:v>P44</x:v>
      </x:c>
      <x:c r="B50" s="17" t="str">
        <x:v>观测间隔</x:v>
      </x:c>
      <x:c r="C50" s="23" t="n">
        <x:v>0.002</x:v>
      </x:c>
      <x:c r="D50" s="17" t="str">
        <x:v>τ</x:v>
      </x:c>
      <x:c r="E50" s="17" t="str">
        <x:v>辨识设计</x:v>
      </x:c>
      <x:c r="F50" s="17" t="n">
        <x:v>0.002</x:v>
      </x:c>
      <x:c r="G50" s="17" t="str">
        <x:v>C01</x:v>
      </x:c>
      <x:c r="H50" s="17" t="str">
        <x:v>积分窗口内等间隔观测，Simpson积分。</x:v>
      </x:c>
      <x:c r="I50" s="17" t="str">
        <x:v>合成无状态噪声；不是传感器分辨率。</x:v>
      </x:c>
    </x:row>
    <x:row r="51" ht="44" customHeight="1">
      <x:c r="A51" s="17" t="str">
        <x:v>P45</x:v>
      </x:c>
      <x:c r="B51" s="17" t="str">
        <x:v>积分窗口长度</x:v>
      </x:c>
      <x:c r="C51" s="23" t="n">
        <x:v>0.04</x:v>
      </x:c>
      <x:c r="D51" s="17" t="str">
        <x:v>τ</x:v>
      </x:c>
      <x:c r="E51" s="17" t="str">
        <x:v>辨识设计</x:v>
      </x:c>
      <x:c r="F51" s="17" t="n">
        <x:v>0.04</x:v>
      </x:c>
      <x:c r="G51" s="17" t="str">
        <x:v>C01</x:v>
      </x:c>
      <x:c r="H51" s="17" t="str">
        <x:v>每窗口20个小间隔、21个点；分离拟合残差与物理缺陷。</x:v>
      </x:c>
      <x:c r="I51" s="17" t="str">
        <x:v>无外部严格缺陷界时只报告诊断值。</x:v>
      </x:c>
    </x:row>
    <x:row r="52" ht="44" customHeight="1">
      <x:c r="A52" s="17" t="str">
        <x:v>P46</x:v>
      </x:c>
      <x:c r="B52" s="17" t="str">
        <x:v>原稿角度误差预算</x:v>
      </x:c>
      <x:c r="C52" s="23" t="n">
        <x:v>0.001</x:v>
      </x:c>
      <x:c r="D52" s="17" t="str">
        <x:v>rad</x:v>
      </x:c>
      <x:c r="E52" s="26" t="str">
        <x:v>条件工程要求</x:v>
      </x:c>
      <x:c r="F52" s="17" t="n">
        <x:v>0.001</x:v>
      </x:c>
      <x:c r="G52" s="17" t="str">
        <x:v>S04 / Table S12</x:v>
      </x:c>
      <x:c r="H52" s="17" t="str">
        <x:v>原文已明确为确定性假设；可作为将来仪器校准目标。</x:v>
      </x:c>
      <x:c r="I52" s="17" t="str">
        <x:v>未指定仪器，不声称已达到。</x:v>
      </x:c>
    </x:row>
    <x:row r="53" ht="44" customHeight="1">
      <x:c r="A53" s="17" t="str">
        <x:v>P47</x:v>
      </x:c>
      <x:c r="B53" s="17" t="str">
        <x:v>原稿角速度误差预算</x:v>
      </x:c>
      <x:c r="C53" s="23" t="n">
        <x:v>0.01</x:v>
      </x:c>
      <x:c r="D53" s="17" t="str">
        <x:v>rad/s</x:v>
      </x:c>
      <x:c r="E53" s="26" t="str">
        <x:v>条件工程要求</x:v>
      </x:c>
      <x:c r="F53" s="17" t="n">
        <x:v>0.01</x:v>
      </x:c>
      <x:c r="G53" s="17" t="str">
        <x:v>S04 / Table S12</x:v>
      </x:c>
      <x:c r="H53" s="17" t="str">
        <x:v>与延迟/观测年龄共同计入功率误差。</x:v>
      </x:c>
      <x:c r="I53" s="17" t="str">
        <x:v>旧储备须按新参数重算；本轮未认证。</x:v>
      </x:c>
    </x:row>
    <x:row r="54" ht="44" customHeight="1">
      <x:c r="A54" s="17" t="str">
        <x:v>P48</x:v>
      </x:c>
      <x:c r="B54" s="17" t="str">
        <x:v>原稿尖端速度误差预算</x:v>
      </x:c>
      <x:c r="C54" s="23" t="n">
        <x:v>0.0001</x:v>
      </x:c>
      <x:c r="D54" s="17" t="str">
        <x:v>m/s</x:v>
      </x:c>
      <x:c r="E54" s="26" t="str">
        <x:v>条件工程要求</x:v>
      </x:c>
      <x:c r="F54" s="17" t="n">
        <x:v>0.0001</x:v>
      </x:c>
      <x:c r="G54" s="17" t="str">
        <x:v>S04 / Table S12</x:v>
      </x:c>
      <x:c r="H54" s="17" t="str">
        <x:v>即0.1mm/s；不由理论自动推出传感精度。</x:v>
      </x:c>
      <x:c r="I54" s="17" t="str">
        <x:v>需相应估计器误差及带宽测试。</x:v>
      </x:c>
    </x:row>
    <x:row r="55" ht="44" customHeight="1">
      <x:c r="A55" s="17" t="str">
        <x:v>P49</x:v>
      </x:c>
      <x:c r="B55" s="17" t="str">
        <x:v>原稿输入乘性误差</x:v>
      </x:c>
      <x:c r="C55" s="25" t="n">
        <x:v>0.01</x:v>
      </x:c>
      <x:c r="D55" s="17" t="str">
        <x:v>1</x:v>
      </x:c>
      <x:c r="E55" s="26" t="str">
        <x:v>条件工程要求</x:v>
      </x:c>
      <x:c r="F55" s="17" t="n">
        <x:v>0.01</x:v>
      </x:c>
      <x:c r="G55" s="17" t="str">
        <x:v>S04 / Eq.(S145)</x:v>
      </x:c>
      <x:c r="H55" s="17" t="str">
        <x:v>指命令增益误差；和加性项相加。</x:v>
      </x:c>
      <x:c r="I55" s="17" t="str">
        <x:v>不是全量程统一绝对精度。</x:v>
      </x:c>
    </x:row>
    <x:row r="56" ht="44" customHeight="1">
      <x:c r="A56" s="17" t="str">
        <x:v>P50</x:v>
      </x:c>
      <x:c r="B56" s="17" t="str">
        <x:v>原稿加性力误差</x:v>
      </x:c>
      <x:c r="C56" s="28" t="n">
        <x:v>5e-10</x:v>
      </x:c>
      <x:c r="D56" s="17" t="str">
        <x:v>N</x:v>
      </x:c>
      <x:c r="E56" s="26" t="str">
        <x:v>条件工程要求</x:v>
      </x:c>
      <x:c r="F56" s="17" t="n">
        <x:v>5e-10</x:v>
      </x:c>
      <x:c r="G56" s="17" t="str">
        <x:v>S04 / Table S12</x:v>
      </x:c>
      <x:c r="H56" s="17" t="str">
        <x:v>仅保留为条件预算，不用于声称新硬件保证。</x:v>
      </x:c>
      <x:c r="I56" s="17" t="str">
        <x:v>磁矩/梯度标定缺失，需实测。</x:v>
      </x:c>
    </x:row>
    <x:row r="57" ht="44" customHeight="1">
      <x:c r="A57" s="17" t="str">
        <x:v>P51</x:v>
      </x:c>
      <x:c r="B57" s="17" t="str">
        <x:v>原稿加性磁场误差</x:v>
      </x:c>
      <x:c r="C57" s="28" t="n">
        <x:v>5e-8</x:v>
      </x:c>
      <x:c r="D57" s="17" t="str">
        <x:v>T</x:v>
      </x:c>
      <x:c r="E57" s="26" t="str">
        <x:v>条件工程要求</x:v>
      </x:c>
      <x:c r="F57" s="17" t="n">
        <x:v>5e-8</x:v>
      </x:c>
      <x:c r="G57" s="17" t="str">
        <x:v>S04 / Table S12</x:v>
      </x:c>
      <x:c r="H57" s="17" t="str">
        <x:v>6mT命令时，加1%增益误差共60.05μT。</x:v>
      </x:c>
      <x:c r="I57" s="17" t="str">
        <x:v>不是单独0.05μT总误差能力。</x:v>
      </x:c>
    </x:row>
    <x:row r="58" ht="44" customHeight="1">
      <x:c r="A58" s="17" t="str">
        <x:v>P52</x:v>
      </x:c>
      <x:c r="B58" s="17" t="str">
        <x:v>磁芯质心相对梁端偏移</x:v>
      </x:c>
      <x:c r="C58" s="23" t="n">
        <x:v>0</x:v>
      </x:c>
      <x:c r="D58" s="17" t="str">
        <x:v>m</x:v>
      </x:c>
      <x:c r="E58" s="17" t="str">
        <x:v>安装理想化</x:v>
      </x:c>
      <x:c r="F58" s="17" t="str">
        <x:v>原稿未给</x:v>
      </x:c>
      <x:c r="G58" s="17" t="str">
        <x:v>C01</x:v>
      </x:c>
      <x:c r="H58" s="17" t="str">
        <x:v>集中磁芯质心与梁端节点重合，质量/惯量分开计入。</x:v>
      </x:c>
      <x:c r="I58" s="17" t="str">
        <x:v>e≠0时ΔM含mt(b+es)(b+es)ᵀ；实际安装应重算。</x:v>
      </x:c>
    </x:row>
    <x:row r="59" ht="44" customHeight="1">
      <x:c r="A59" s="17" t="str">
        <x:v>D01</x:v>
      </x:c>
      <x:c r="B59" s="17" t="str">
        <x:v>截面积 A</x:v>
      </x:c>
      <x:c r="C59" s="28" t="n">
        <x:f>PI()*C8^2</x:f>
        <x:v>0.0000011309733552923253</x:v>
      </x:c>
      <x:c r="D59" s="17" t="str">
        <x:v>m²</x:v>
      </x:c>
      <x:c r="E59" s="17" t="str">
        <x:v>公式派生</x:v>
      </x:c>
      <x:c r="F59" s="17" t="str">
        <x:v>旧几何相同</x:v>
      </x:c>
      <x:c r="G59" s="17" t="str">
        <x:v>P02</x:v>
      </x:c>
      <x:c r="H59" s="17" t="str">
        <x:v>A=πr²。</x:v>
      </x:c>
      <x:c r="I59" s="17" t="str">
        <x:v>实心圆截面。</x:v>
      </x:c>
    </x:row>
    <x:row r="60" ht="44" customHeight="1">
      <x:c r="A60" s="17" t="str">
        <x:v>D02</x:v>
      </x:c>
      <x:c r="B60" s="17" t="str">
        <x:v>截面二次矩 I</x:v>
      </x:c>
      <x:c r="C60" s="28" t="n">
        <x:f>PI()*C8^4/4</x:f>
        <x:v>1.0178760197630926e-13</x:v>
      </x:c>
      <x:c r="D60" s="17" t="str">
        <x:v>m⁴</x:v>
      </x:c>
      <x:c r="E60" s="17" t="str">
        <x:v>公式派生</x:v>
      </x:c>
      <x:c r="F60" s="17" t="str">
        <x:v>旧几何相同</x:v>
      </x:c>
      <x:c r="G60" s="17" t="str">
        <x:v>P02</x:v>
      </x:c>
      <x:c r="H60" s="17" t="str">
        <x:v>I=πr⁴/4。</x:v>
      </x:c>
      <x:c r="I60" s="17" t="str">
        <x:v>弯曲轴通过圆截面中心。</x:v>
      </x:c>
    </x:row>
    <x:row r="61" ht="44" customHeight="1">
      <x:c r="A61" s="17" t="str">
        <x:v>D03</x:v>
      </x:c>
      <x:c r="B61" s="17" t="str">
        <x:v>弯曲刚度 EI</x:v>
      </x:c>
      <x:c r="C61" s="28" t="n">
        <x:f>C9*C60</x:f>
        <x:v>2.1375396415024945e-7</x:v>
      </x:c>
      <x:c r="D61" s="17" t="str">
        <x:v>N·m²</x:v>
      </x:c>
      <x:c r="E61" s="17" t="str">
        <x:v>公式派生</x:v>
      </x:c>
      <x:c r="F61" s="17" t="n">
        <x:v>5.089380098815463e-7</x:v>
      </x:c>
      <x:c r="G61" s="17" t="str">
        <x:v>P03、D02</x:v>
      </x:c>
      <x:c r="H61" s="17" t="str">
        <x:v>E×I。</x:v>
      </x:c>
      <x:c r="I61" s="17" t="str">
        <x:v>基于文献近似材料参数。</x:v>
      </x:c>
    </x:row>
    <x:row r="62" ht="44" customHeight="1">
      <x:c r="A62" s="17" t="str">
        <x:v>D04</x:v>
      </x:c>
      <x:c r="B62" s="17" t="str">
        <x:v>梁质量 mb</x:v>
      </x:c>
      <x:c r="C62" s="28" t="n">
        <x:f>C10*C59*C7</x:f>
        <x:v>0.00009301124873924084</x:v>
      </x:c>
      <x:c r="D62" s="17" t="str">
        <x:v>kg</x:v>
      </x:c>
      <x:c r="E62" s="17" t="str">
        <x:v>公式派生</x:v>
      </x:c>
      <x:c r="F62" s="17" t="n">
        <x:v>0.00009952565526572462</x:v>
      </x:c>
      <x:c r="G62" s="17" t="str">
        <x:v>P01、P04、D01</x:v>
      </x:c>
      <x:c r="H62" s="17" t="str">
        <x:v>ρAL；端磁芯另外计入。</x:v>
      </x:c>
      <x:c r="I62" s="17" t="str">
        <x:v>不含胶、涂层、流体附加质量。</x:v>
      </x:c>
    </x:row>
    <x:row r="63" ht="44" customHeight="1">
      <x:c r="A63" s="17" t="str">
        <x:v>D05</x:v>
      </x:c>
      <x:c r="B63" s="17" t="str">
        <x:v>磁能尺度 E0</x:v>
      </x:c>
      <x:c r="C63" s="28" t="n">
        <x:f>C23*C24</x:f>
        <x:v>5.315526419670722e-7</x:v>
      </x:c>
      <x:c r="D63" s="17" t="str">
        <x:v>J</x:v>
      </x:c>
      <x:c r="E63" s="17" t="str">
        <x:v>公式派生</x:v>
      </x:c>
      <x:c r="F63" s="17" t="n">
        <x:v>6e-7</x:v>
      </x:c>
      <x:c r="G63" s="17" t="str">
        <x:v>P17、P18</x:v>
      </x:c>
      <x:c r="H63" s="17" t="str">
        <x:v>E0=μB0。</x:v>
      </x:c>
      <x:c r="I63" s="17" t="str">
        <x:v>随磁矩/偏置更新。</x:v>
      </x:c>
    </x:row>
    <x:row r="64" ht="44" customHeight="1">
      <x:c r="A64" s="17" t="str">
        <x:v>D06</x:v>
      </x:c>
      <x:c r="B64" s="17" t="str">
        <x:v>参考频率 ω0=ω1</x:v>
      </x:c>
      <x:c r="C64" s="23" t="n">
        <x:v>7.840009161840092</x:v>
      </x:c>
      <x:c r="D64" s="17" t="str">
        <x:v>rad/s</x:v>
      </x:c>
      <x:c r="E64" s="17" t="str">
        <x:v>FE输出</x:v>
      </x:c>
      <x:c r="F64" s="17" t="n">
        <x:v>11.417287283</x:v>
      </x:c>
      <x:c r="G64" s="17" t="str">
        <x:v>C01</x:v>
      </x:c>
      <x:c r="H64" s="17" t="str">
        <x:v>Kbias φ=ω²Mtotal φ；质量归一化。</x:v>
      </x:c>
      <x:c r="I64" s="17" t="str">
        <x:v>静态导出；修改物性后必须重跑脚本。</x:v>
      </x:c>
    </x:row>
    <x:row r="65" ht="44" customHeight="1">
      <x:c r="A65" s="17" t="str">
        <x:v>D07</x:v>
      </x:c>
      <x:c r="B65" s="17" t="str">
        <x:v>第二模态频率 ω2</x:v>
      </x:c>
      <x:c r="C65" s="23" t="n">
        <x:v>47.39957662371655</x:v>
      </x:c>
      <x:c r="D65" s="17" t="str">
        <x:v>rad/s</x:v>
      </x:c>
      <x:c r="E65" s="17" t="str">
        <x:v>FE输出</x:v>
      </x:c>
      <x:c r="F65" s="17" t="n">
        <x:v>70.240492942</x:v>
      </x:c>
      <x:c r="G65" s="17" t="str">
        <x:v>C01</x:v>
      </x:c>
      <x:c r="H65" s="17" t="str">
        <x:v>同一32单元含端质量的广义特征问题。</x:v>
      </x:c>
      <x:c r="I65" s="17" t="str">
        <x:v>不是另找文献指定的独立输入。</x:v>
      </x:c>
    </x:row>
    <x:row r="66" ht="44" customHeight="1">
      <x:c r="A66" s="17" t="str">
        <x:v>D08</x:v>
      </x:c>
      <x:c r="B66" s="17" t="str">
        <x:v>频率比 ν2</x:v>
      </x:c>
      <x:c r="C66" s="23" t="n">
        <x:f>C65/C64</x:f>
        <x:v>6.045857300068718</x:v>
      </x:c>
      <x:c r="D66" s="17" t="str">
        <x:v>1</x:v>
      </x:c>
      <x:c r="E66" s="17" t="str">
        <x:v>公式派生</x:v>
      </x:c>
      <x:c r="F66" s="17" t="n">
        <x:v>6.152117504</x:v>
      </x:c>
      <x:c r="G66" s="17" t="str">
        <x:v>D06、D07</x:v>
      </x:c>
      <x:c r="H66" s="17" t="str">
        <x:v>ν2=ω2/ω1。</x:v>
      </x:c>
      <x:c r="I66" s="17" t="str">
        <x:v>依赖同次FE计算。</x:v>
      </x:c>
    </x:row>
    <x:row r="67" ht="44" customHeight="1">
      <x:c r="A67" s="17" t="str">
        <x:v>D09</x:v>
      </x:c>
      <x:c r="B67" s="17" t="str">
        <x:v>端角向量 d1</x:v>
      </x:c>
      <x:c r="C67" s="23" t="n">
        <x:v>0.30722439332376256</x:v>
      </x:c>
      <x:c r="D67" s="17" t="str">
        <x:v>1</x:v>
      </x:c>
      <x:c r="E67" s="17" t="str">
        <x:v>FE平衡尺度输出</x:v>
      </x:c>
      <x:c r="F67" s="17" t="n">
        <x:v>0.225670773</x:v>
      </x:c>
      <x:c r="G67" s="17" t="str">
        <x:v>C01</x:v>
      </x:c>
      <x:c r="H67" s="17" t="str">
        <x:v>d=端转角模态值×Ds；Ds_j=sqrt(E0/(ω0ωj))。</x:v>
      </x:c>
      <x:c r="I67" s="17" t="str">
        <x:v>改变物性后重跑。</x:v>
      </x:c>
    </x:row>
    <x:row r="68" ht="44" customHeight="1">
      <x:c r="A68" s="17" t="str">
        <x:v>D10</x:v>
      </x:c>
      <x:c r="B68" s="17" t="str">
        <x:v>端角向量 d2</x:v>
      </x:c>
      <x:c r="C68" s="23" t="n">
        <x:v>0.4504263248454578</x:v>
      </x:c>
      <x:c r="D68" s="17" t="str">
        <x:v>1</x:v>
      </x:c>
      <x:c r="E68" s="17" t="str">
        <x:v>FE平衡尺度输出</x:v>
      </x:c>
      <x:c r="F68" s="17" t="n">
        <x:v>0.321798806</x:v>
      </x:c>
      <x:c r="G68" s="17" t="str">
        <x:v>C01</x:v>
      </x:c>
      <x:c r="H68" s="17" t="str">
        <x:v>全余弦磁势与此坐标系一致。</x:v>
      </x:c>
      <x:c r="I68" s="17" t="str">
        <x:v>旧KAM域/尾项/非退化界须重算。</x:v>
      </x:c>
    </x:row>
    <x:row r="69" ht="44" customHeight="1">
      <x:c r="A69" s="17" t="str">
        <x:v>D11</x:v>
      </x:c>
      <x:c r="B69" s="17" t="str">
        <x:v>端位移读出 ℓ1</x:v>
      </x:c>
      <x:c r="C69" s="23" t="n">
        <x:v>0.018967344318651182</x:v>
      </x:c>
      <x:c r="D69" s="17" t="str">
        <x:v>m</x:v>
      </x:c>
      <x:c r="E69" s="17" t="str">
        <x:v>FE平衡尺度输出</x:v>
      </x:c>
      <x:c r="F69" s="17" t="n">
        <x:v>0.013506054</x:v>
      </x:c>
      <x:c r="G69" s="17" t="str">
        <x:v>C01</x:v>
      </x:c>
      <x:c r="H69" s="17" t="str">
        <x:v>ℓ=端位移模态值×Ds。</x:v>
      </x:c>
      <x:c r="I69" s="17" t="str">
        <x:v>与d和ω必须来自同一次装配。</x:v>
      </x:c>
    </x:row>
    <x:row r="70" ht="44" customHeight="1">
      <x:c r="A70" s="17" t="str">
        <x:v>D12</x:v>
      </x:c>
      <x:c r="B70" s="17" t="str">
        <x:v>端位移读出 ℓ2</x:v>
      </x:c>
      <x:c r="C70" s="23" t="n">
        <x:v>0.007753476139325548</x:v>
      </x:c>
      <x:c r="D70" s="17" t="str">
        <x:v>m</x:v>
      </x:c>
      <x:c r="E70" s="17" t="str">
        <x:v>FE平衡尺度输出</x:v>
      </x:c>
      <x:c r="F70" s="17" t="n">
        <x:v>0.005470926</x:v>
      </x:c>
      <x:c r="G70" s="17" t="str">
        <x:v>C01</x:v>
      </x:c>
      <x:c r="H70" s="17" t="str">
        <x:v>同上。</x:v>
      </x:c>
      <x:c r="I70" s="17" t="str">
        <x:v>不得与旧参数交叉混用。</x:v>
      </x:c>
    </x:row>
    <x:row r="71" ht="44" customHeight="1">
      <x:c r="A71" s="17" t="str">
        <x:v>D13</x:v>
      </x:c>
      <x:c r="B71" s="17" t="str">
        <x:v>净空临界能量 Ec</x:v>
      </x:c>
      <x:c r="C71" s="28" t="n">
        <x:f>3*C61*C36^2/(2*C7^3)</x:f>
        <x:v>1.001971706954294e-8</x:v>
      </x:c>
      <x:c r="D71" s="17" t="str">
        <x:v>J</x:v>
      </x:c>
      <x:c r="E71" s="17" t="str">
        <x:v>公式派生</x:v>
      </x:c>
      <x:c r="F71" s="17" t="n">
        <x:v>2.38565e-8</x:v>
      </x:c>
      <x:c r="G71" s="17" t="str">
        <x:v>P01、P30、D03</x:v>
      </x:c>
      <x:c r="H71" s="17" t="str">
        <x:v>Ec=3EI c²/(2L³)；由夹持梁Cauchy–Schwarz界。</x:v>
      </x:c>
      <x:c r="I71" s="17" t="str">
        <x:v>用于名义物理能量的非负分项；含人工残差的能量不能自动代入。</x:v>
      </x:c>
    </x:row>
    <x:row r="72" ht="44" customHeight="1">
      <x:c r="A72" s="17" t="str">
        <x:v>D14</x:v>
      </x:c>
      <x:c r="B72" s="17" t="str">
        <x:v>条件能量预算 .95Ec</x:v>
      </x:c>
      <x:c r="C72" s="28" t="n">
        <x:f>C37*C71</x:f>
        <x:v>9.518731216065792e-9</x:v>
      </x:c>
      <x:c r="D72" s="17" t="str">
        <x:v>J</x:v>
      </x:c>
      <x:c r="E72" s="17" t="str">
        <x:v>公式派生</x:v>
      </x:c>
      <x:c r="F72" s="17" t="n">
        <x:v>2.266365e-8</x:v>
      </x:c>
      <x:c r="G72" s="17" t="str">
        <x:v>P31、D13</x:v>
      </x:c>
      <x:c r="H72" s="26" t="str">
        <x:v>后续安全工况按同一5%裕量更新。</x:v>
      </x:c>
      <x:c r="I72" s="26" t="str">
        <x:v>本轮闭环未施加能量过滤；旧22.66nJ与旧储备不能移植。</x:v>
      </x:c>
    </x:row>
    <x:row r="73" ht="44" customHeight="1">
      <x:c r="A73" s="17" t="str">
        <x:v>D15</x:v>
      </x:c>
      <x:c r="B73" s="17" t="str">
        <x:v>该能量条件下中心线界</x:v>
      </x:c>
      <x:c r="C73" s="23" t="n">
        <x:f>C36*SQRT(C37 )</x:f>
        <x:v>0.0038987177379235854</x:v>
      </x:c>
      <x:c r="D73" s="17" t="str">
        <x:v>m</x:v>
      </x:c>
      <x:c r="E73" s="17" t="str">
        <x:v>公式派生</x:v>
      </x:c>
      <x:c r="F73" s="17" t="n">
        <x:v>0.0038987177379</x:v>
      </x:c>
      <x:c r="G73" s="17" t="str">
        <x:v>P30、P31</x:v>
      </x:c>
      <x:c r="H73" s="17" t="str">
        <x:v>c sqrt(.95)，前提为名义物理能量始终≤新预算。</x:v>
      </x:c>
      <x:c r="I73" s="17" t="str">
        <x:v>本轮最小轨迹没有获得这一能量帽保证；这不是轨迹实测最大值。</x:v>
      </x:c>
    </x:row>
    <x:row r="74" ht="44" customHeight="1">
      <x:c r="A74" s="17" t="str">
        <x:v>D16</x:v>
      </x:c>
      <x:c r="B74" s="17" t="str">
        <x:v>仅Br范围：磁矩下端</x:v>
      </x:c>
      <x:c r="C74" s="28" t="n">
        <x:f>C15*C20/C19</x:f>
        <x:v>0.000017407571900676052</x:v>
      </x:c>
      <x:c r="D74" s="17" t="str">
        <x:v>A·m²</x:v>
      </x:c>
      <x:c r="E74" s="17" t="str">
        <x:v>公式派生</x:v>
      </x:c>
      <x:c r="F74" s="17" t="str">
        <x:v>未单列</x:v>
      </x:c>
      <x:c r="G74" s="17" t="str">
        <x:v>P09、P13、P14</x:v>
      </x:c>
      <x:c r="H74" s="17" t="str">
        <x:v>Br_lower Vm/μ0。</x:v>
      </x:c>
      <x:c r="I74" s="17" t="str">
        <x:v>不包括尺寸、退磁等误差。</x:v>
      </x:c>
    </x:row>
    <x:row r="75" ht="44" customHeight="1">
      <x:c r="A75" s="17" t="str">
        <x:v>D17</x:v>
      </x:c>
      <x:c r="B75" s="17" t="str">
        <x:v>仅Br范围：磁矩上端</x:v>
      </x:c>
      <x:c r="C75" s="28" t="n">
        <x:f>C16*C20/C19</x:f>
        <x:v>0.000018029270897128768</x:v>
      </x:c>
      <x:c r="D75" s="17" t="str">
        <x:v>A·m²</x:v>
      </x:c>
      <x:c r="E75" s="17" t="str">
        <x:v>公式派生</x:v>
      </x:c>
      <x:c r="F75" s="17" t="str">
        <x:v>未单列</x:v>
      </x:c>
      <x:c r="G75" s="17" t="str">
        <x:v>P10、P13、P14</x:v>
      </x:c>
      <x:c r="H75" s="17" t="str">
        <x:v>Br_upper Vm/μ0。</x:v>
      </x:c>
      <x:c r="I75" s="17" t="str">
        <x:v>不能称完整磁矩置信区间。</x:v>
      </x:c>
    </x:row>
    <x:row r="76" ht="44" customHeight="1">
      <x:c r="A76" s="17" t="str">
        <x:v>D18</x:v>
      </x:c>
      <x:c r="B76" s="17" t="str">
        <x:v>20τ闭环对应物理时长</x:v>
      </x:c>
      <x:c r="C76" s="23" t="n">
        <x:f>C43/C64</x:f>
        <x:v>2.551017427039064</x:v>
      </x:c>
      <x:c r="D76" s="17" t="str">
        <x:v>s</x:v>
      </x:c>
      <x:c r="E76" s="17" t="str">
        <x:v>公式派生</x:v>
      </x:c>
      <x:c r="F76" s="17" t="str">
        <x:v>原约1.75s</x:v>
      </x:c>
      <x:c r="G76" s="17" t="str">
        <x:v>P37、D06</x:v>
      </x:c>
      <x:c r="H76" s="17" t="str">
        <x:v>t=τ/ω0。</x:v>
      </x:c>
      <x:c r="I76" s="17" t="str">
        <x:v>数值协议时间单位显式换算。</x:v>
      </x:c>
    </x:row>
    <x:row r="79" ht="28" customHeight="1">
      <x:c r="A79" s="30" t="str">
        <x:v>本轮验证：同一新物理基准的频率网格收敛与端质量影响</x:v>
      </x:c>
      <x:c r="B79" s="30"/>
      <x:c r="C79" s="30"/>
      <x:c r="D79" s="30"/>
      <x:c r="E79" s="30"/>
      <x:c r="F79" s="30"/>
      <x:c r="G79" s="30"/>
      <x:c r="H79" s="30"/>
      <x:c r="I79" s="30"/>
    </x:row>
    <x:row r="80" ht="34" customHeight="1">
      <x:c r="A80" s="33" t="str">
        <x:v>单元数</x:v>
      </x:c>
      <x:c r="B80" s="33" t="str">
        <x:v>ω1 (rad/s)</x:v>
      </x:c>
      <x:c r="C80" s="33" t="str">
        <x:v>ω2 (rad/s)</x:v>
      </x:c>
      <x:c r="D80" s="33" t="str">
        <x:v>ω3 (rad/s)</x:v>
      </x:c>
      <x:c r="E80" s="33" t="str">
        <x:v>ω4 (rad/s)</x:v>
      </x:c>
      <x:c r="F80" s="33" t="str">
        <x:v>ω1相对连续解误差</x:v>
      </x:c>
      <x:c r="G80" s="33" t="str">
        <x:v>ω2相对连续解误差</x:v>
      </x:c>
      <x:c r="H80" s="33" t="str">
        <x:v>验证含义</x:v>
      </x:c>
      <x:c r="I80" s="33" t="str">
        <x:v>适用限制</x:v>
      </x:c>
    </x:row>
    <x:row r="81" ht="46" customHeight="1">
      <x:c r="A81" s="17" t="n">
        <x:v>16</x:v>
      </x:c>
      <x:c r="B81" s="23" t="n">
        <x:v>7.8400102216039205</x:v>
      </x:c>
      <x:c r="C81" s="23" t="n">
        <x:v>47.3998094410351</x:v>
      </x:c>
      <x:c r="D81" s="23" t="n">
        <x:v>131.21158139767613</x:v>
      </x:c>
      <x:c r="E81" s="23" t="n">
        <x:v>256.37539514021614</x:v>
      </x:c>
      <x:c r="F81" s="34" t="n">
        <x:v>1.4418888216738424e-7</x:v>
      </x:c>
      <x:c r="G81" s="34" t="n">
        <x:v>0.000005241091991736724</x:v>
      </x:c>
      <x:c r="H81" s="17" t="str">
        <x:v>同一M、Kbias与独立连续梁边界方程比较</x:v>
      </x:c>
      <x:c r="I81" s="17" t="str">
        <x:v>未验证新模型的全阶受迫轨迹与两模态截断误差</x:v>
      </x:c>
    </x:row>
    <x:row r="82" ht="46" customHeight="1">
      <x:c r="A82" s="17" t="n">
        <x:v>32</x:v>
      </x:c>
      <x:c r="B82" s="23" t="n">
        <x:v>7.840009161840092</x:v>
      </x:c>
      <x:c r="C82" s="23" t="n">
        <x:v>47.39957662371655</x:v>
      </x:c>
      <x:c r="D82" s="23" t="n">
        <x:v>131.20668107302228</x:v>
      </x:c>
      <x:c r="E82" s="23" t="n">
        <x:v>256.3392219349835</x:v>
      </x:c>
      <x:c r="F82" s="34" t="n">
        <x:v>9.015081126051427e-9</x:v>
      </x:c>
      <x:c r="G82" s="34" t="n">
        <x:v>3.292887267303257e-7</x:v>
      </x:c>
      <x:c r="H82" s="17" t="str">
        <x:v>同一M、Kbias与独立连续梁边界方程比较</x:v>
      </x:c>
      <x:c r="I82" s="17" t="str">
        <x:v>未验证新模型的全阶受迫轨迹与两模态截断误差</x:v>
      </x:c>
    </x:row>
    <x:row r="83" ht="46" customHeight="1">
      <x:c r="A83" s="17" t="n">
        <x:v>64</x:v>
      </x:c>
      <x:c r="B83" s="23" t="n">
        <x:v>7.840009096058093</x:v>
      </x:c>
      <x:c r="C83" s="23" t="n">
        <x:v>47.39956199224363</x:v>
      </x:c>
      <x:c r="D83" s="23" t="n">
        <x:v>131.20637133153522</x:v>
      </x:c>
      <x:c r="E83" s="23" t="n">
        <x:v>256.33691792530465</x:v>
      </x:c>
      <x:c r="F83" s="34" t="n">
        <x:v>6.245297612395007e-10</x:v>
      </x:c>
      <x:c r="G83" s="34" t="n">
        <x:v>2.060500459144521e-8</x:v>
      </x:c>
      <x:c r="H83" s="17" t="str">
        <x:v>同一M、Kbias与独立连续梁边界方程比较</x:v>
      </x:c>
      <x:c r="I83" s="17" t="str">
        <x:v>未验证新模型的全阶受迫轨迹与两模态截断误差</x:v>
      </x:c>
    </x:row>
    <x:row r="85" ht="27" customHeight="1">
      <x:c r="A85" s="35" t="str">
        <x:v>磁芯质量±10%、E±20%与ζ组均为设计敏感性；Br上下端来自牌号范围。所有结果是数值验证，不是实测误差区间。</x:v>
      </x:c>
      <x:c r="B85" s="35"/>
      <x:c r="C85" s="35"/>
      <x:c r="D85" s="35"/>
      <x:c r="E85" s="35"/>
      <x:c r="F85" s="35"/>
      <x:c r="G85" s="35"/>
      <x:c r="H85" s="35"/>
      <x:c r="I85" s="35"/>
    </x:row>
  </x:sheetData>
  <x:mergeCells>
    <x:mergeCell ref="A1:I1"/>
    <x:mergeCell ref="A2:I2"/>
    <x:mergeCell ref="A3:I3"/>
    <x:mergeCell ref="A4:I4"/>
    <x:mergeCell ref="A5:I5"/>
    <x:mergeCell ref="A79:I79"/>
    <x:mergeCell ref="A85:I85"/>
  </x:mergeCells>
  <x:pageMargins left="0.7" right="0.7" top="0.75" bottom="0.75" header="0.3" footer="0.3"/>
  <x:tableParts count="1">
    <x:tablePart xmlns:r="http://schemas.openxmlformats.org/officeDocument/2006/relationships" r:id="R89523dd6b7b940b2"/>
  </x:tableParts>
</x:worksheet>
</file>